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iyansh\Downloads\"/>
    </mc:Choice>
  </mc:AlternateContent>
  <xr:revisionPtr revIDLastSave="0" documentId="13_ncr:1_{EDED5B10-EA2E-4EE4-9924-D62B661B751B}" xr6:coauthVersionLast="47" xr6:coauthVersionMax="47" xr10:uidLastSave="{00000000-0000-0000-0000-000000000000}"/>
  <bookViews>
    <workbookView xWindow="-120" yWindow="-120" windowWidth="29040" windowHeight="15720" xr2:uid="{00000000-000D-0000-FFFF-FFFF00000000}"/>
  </bookViews>
  <sheets>
    <sheet name="RAW" sheetId="1" r:id="rId1"/>
    <sheet name="Dashboard" sheetId="3" r:id="rId2"/>
    <sheet name="All  Pivots" sheetId="2" r:id="rId3"/>
  </sheets>
  <definedNames>
    <definedName name="_xlnm._FilterDatabase" localSheetId="0" hidden="1">RAW!$A$1:$O$36</definedName>
    <definedName name="Slicer_City">#N/A</definedName>
    <definedName name="Slicer_Gender">#N/A</definedName>
    <definedName name="Slicer_Membership_Type">#N/A</definedName>
    <definedName name="Slicer_Referred">#N/A</definedName>
  </definedNames>
  <calcPr calcId="191029"/>
  <pivotCaches>
    <pivotCache cacheId="11" r:id="rId4"/>
    <pivotCache cacheId="73" r:id="rId5"/>
    <pivotCache cacheId="79" r:id="rId6"/>
    <pivotCache cacheId="8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GJwS0+B45xNQM+LKEkjyJlcr0UGtKlsJIMlgA/KehTo="/>
    </ext>
  </extLst>
</workbook>
</file>

<file path=xl/calcChain.xml><?xml version="1.0" encoding="utf-8"?>
<calcChain xmlns="http://schemas.openxmlformats.org/spreadsheetml/2006/main">
  <c r="O36" i="1" l="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alcChain>
</file>

<file path=xl/sharedStrings.xml><?xml version="1.0" encoding="utf-8"?>
<sst xmlns="http://schemas.openxmlformats.org/spreadsheetml/2006/main" count="330" uniqueCount="140">
  <si>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</si>
  <si>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</si>
  <si>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</si>
  <si>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</si>
  <si>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</si>
  <si>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</si>
  <si>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</si>
  <si>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</si>
  <si>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</si>
  <si>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</si>
  <si>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</si>
  <si>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</si>
  <si>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</si>
  <si>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</si>
  <si>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</si>
  <si>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</si>
  <si>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</si>
  <si>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</si>
  <si>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</si>
  <si>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</si>
  <si>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</si>
  <si>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</si>
  <si>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</si>
  <si>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</si>
  <si>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</si>
  <si>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</si>
  <si>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</si>
  <si>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</si>
  <si>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</si>
  <si>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</si>
  <si>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</si>
  <si>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</si>
  <si>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</si>
  <si>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</si>
  <si>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</si>
  <si>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</si>
  <si>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</si>
  <si>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</si>
  <si>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</si>
  <si>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</si>
  <si>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</si>
  <si>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</si>
  <si>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</si>
  <si>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</si>
  <si>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</si>
  <si>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</si>
  <si>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</si>
  <si>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</si>
  <si>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</si>
  <si>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</si>
  <si>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</si>
  <si>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</si>
  <si>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</si>
  <si>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</si>
  <si>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</si>
  <si>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</si>
  <si>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</si>
  <si>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</si>
  <si>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</si>
  <si>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</si>
  <si>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</si>
  <si>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</si>
  <si>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</si>
  <si>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</si>
  <si>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</si>
  <si>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</si>
  <si>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</si>
  <si>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</si>
  <si>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</si>
  <si>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</si>
  <si>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</si>
  <si>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</si>
  <si>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</si>
  <si>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</si>
  <si>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</si>
  <si>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</si>
  <si>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</si>
  <si>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</si>
  <si>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</si>
  <si>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</si>
  <si>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</si>
  <si>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</si>
  <si>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</si>
  <si>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</si>
  <si>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</si>
  <si>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</si>
  <si>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</si>
  <si>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</si>
  <si>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</si>
  <si>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</si>
  <si>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</si>
  <si>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</si>
  <si>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</si>
  <si>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</si>
  <si>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</si>
  <si>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</si>
  <si>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</si>
  <si>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</si>
  <si>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</si>
  <si>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</si>
  <si>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</si>
  <si>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</si>
  <si>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</si>
  <si>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</si>
  <si>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</si>
  <si>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</si>
  <si>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</si>
  <si>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Member_ID</t>
  </si>
  <si>
    <t>Referred</t>
  </si>
  <si>
    <t>Membership_
Duration_Months</t>
  </si>
  <si>
    <t>No</t>
  </si>
  <si>
    <t>Yes</t>
  </si>
  <si>
    <t>Grand Total</t>
  </si>
  <si>
    <t>Average of Monthly_Fee</t>
  </si>
  <si>
    <t>Total_Revenue</t>
  </si>
  <si>
    <t>referred vs. non-referred members</t>
  </si>
  <si>
    <t>Membership Type</t>
  </si>
  <si>
    <t>Count of Member_ID</t>
  </si>
  <si>
    <t>Sum of Total_Revenue</t>
  </si>
  <si>
    <t>Values</t>
  </si>
  <si>
    <t>Mumbai Total</t>
  </si>
  <si>
    <t>Bengaluru Total</t>
  </si>
  <si>
    <t>Delhi Total</t>
  </si>
  <si>
    <t>Kolkata Total</t>
  </si>
  <si>
    <t>Hyderabad Total</t>
  </si>
  <si>
    <t>Pune Total</t>
  </si>
  <si>
    <t>Average of per member</t>
  </si>
  <si>
    <t>This dashboard helps PowerFit India identify profitable member segments and optimize referral strategies. It uses Pivot Tables, Calculated Fields, and interactive charts to compare revenue and member traits across cities and membership types.</t>
  </si>
  <si>
    <t>PowerFit India – Segment Profitability Dashboard</t>
  </si>
  <si>
    <t>Age Group</t>
  </si>
  <si>
    <t>Adult</t>
  </si>
  <si>
    <t>Senior</t>
  </si>
  <si>
    <t>Youth</t>
  </si>
  <si>
    <t>6. Gender &amp; Age Distribution</t>
  </si>
  <si>
    <t>Age distribution across Membership Types</t>
  </si>
  <si>
    <t>GENDER</t>
  </si>
  <si>
    <t>Membership type</t>
  </si>
  <si>
    <t>2. Referral Impact</t>
  </si>
  <si>
    <t>3. Revenue Calculation</t>
  </si>
  <si>
    <t>Gender-wise count of members per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</si>
</sst>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3" formatCode="0.0"/>
    <numFmt numFmtId="178" formatCode="_ * #,##0.0_ ;_ * \-#,##0.0_ ;_ * &quot;-&quot;??_ ;_ @_ "/>
  </numFmts>
  <fonts count="10"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family val="2"/>
    </font>
    <font>
      <b/>
      <sz val="11"/>
      <color theme="1"/>
      <name val="Calibri"/>
      <family val="2"/>
      <scheme val="minor"/>
    </font>
    <font>
      <b/>
      <sz val="12"/>
      <color rgb="FFFF0000"/>
      <name val="Calibri"/>
      <family val="2"/>
      <scheme val="minor"/>
    </font>
    <font>
      <sz val="11"/>
      <color theme="1"/>
      <name val="Calibri"/>
      <family val="2"/>
      <scheme val="minor"/>
    </font>
    <font>
      <sz val="11"/>
      <color theme="0"/>
      <name val="Calibri"/>
      <family val="2"/>
      <scheme val="minor"/>
    </font>
    <font>
      <b/>
      <sz val="36"/>
      <color rgb="FF00B05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7030A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3">
    <xf numFmtId="0" fontId="0" fillId="0" borderId="0" xfId="0"/>
    <xf numFmtId="0" fontId="0" fillId="0" borderId="0" xfId="0" applyAlignment="1"/>
    <xf numFmtId="0" fontId="0" fillId="0" borderId="0" xfId="0" applyAlignment="1">
      <alignment horizontal="center"/>
    </xf>
    <xf numFmtId="0" fontId="0" fillId="0" borderId="1" xfId="0"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5" fillId="0" borderId="2" xfId="0" applyFont="1" applyBorder="1" applyAlignment="1">
      <alignment horizontal="center"/>
    </xf>
    <xf numFmtId="178" fontId="0" fillId="0" borderId="1" xfId="0" applyNumberFormat="1" applyBorder="1" applyAlignment="1">
      <alignment horizontal="center"/>
    </xf>
    <xf numFmtId="0" fontId="8" fillId="3" borderId="1" xfId="0" applyFont="1" applyFill="1" applyBorder="1" applyAlignment="1">
      <alignment horizontal="center"/>
    </xf>
    <xf numFmtId="0" fontId="7" fillId="0" borderId="0" xfId="0" applyFont="1"/>
    <xf numFmtId="1" fontId="0" fillId="0" borderId="0" xfId="0" applyNumberFormat="1"/>
    <xf numFmtId="0" fontId="0" fillId="0" borderId="0" xfId="0" pivotButton="1" applyBorder="1" applyAlignment="1">
      <alignment horizontal="center"/>
    </xf>
    <xf numFmtId="0" fontId="0" fillId="0" borderId="0" xfId="0" applyBorder="1" applyAlignment="1">
      <alignment horizontal="center"/>
    </xf>
    <xf numFmtId="173" fontId="0" fillId="0" borderId="0" xfId="0" applyNumberFormat="1" applyBorder="1" applyAlignment="1">
      <alignment horizontal="center"/>
    </xf>
    <xf numFmtId="0" fontId="0" fillId="0" borderId="0" xfId="0" applyNumberFormat="1" applyBorder="1" applyAlignment="1">
      <alignment horizontal="center"/>
    </xf>
    <xf numFmtId="0" fontId="9" fillId="0" borderId="0" xfId="0" applyFont="1" applyFill="1" applyAlignment="1">
      <alignment horizontal="center" vertical="center"/>
    </xf>
    <xf numFmtId="0" fontId="1" fillId="0" borderId="0" xfId="0" applyFont="1" applyBorder="1" applyAlignment="1">
      <alignment horizontal="center" vertical="center" wrapText="1"/>
    </xf>
    <xf numFmtId="1" fontId="1" fillId="0" borderId="0" xfId="0" applyNumberFormat="1" applyFont="1" applyBorder="1" applyAlignment="1">
      <alignment horizontal="center" vertical="center" wrapText="1"/>
    </xf>
    <xf numFmtId="0" fontId="1"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Border="1" applyAlignment="1">
      <alignment horizontal="center"/>
    </xf>
    <xf numFmtId="164" fontId="3" fillId="0" borderId="0" xfId="0" applyNumberFormat="1" applyFont="1" applyBorder="1" applyAlignment="1">
      <alignment horizontal="center"/>
    </xf>
    <xf numFmtId="1" fontId="2" fillId="0" borderId="0" xfId="0" applyNumberFormat="1"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0" fillId="0" borderId="0" xfId="0" applyBorder="1"/>
    <xf numFmtId="0" fontId="0" fillId="0" borderId="7" xfId="0" applyBorder="1"/>
    <xf numFmtId="0" fontId="0" fillId="0" borderId="8" xfId="0" pivotButton="1" applyBorder="1"/>
    <xf numFmtId="0" fontId="0" fillId="0" borderId="8" xfId="0" applyBorder="1" applyAlignment="1">
      <alignment horizontal="left"/>
    </xf>
    <xf numFmtId="0" fontId="0" fillId="0" borderId="9" xfId="0" applyBorder="1" applyAlignment="1">
      <alignment horizontal="left"/>
    </xf>
    <xf numFmtId="0" fontId="0" fillId="0" borderId="10" xfId="0" applyNumberFormat="1" applyBorder="1"/>
    <xf numFmtId="0" fontId="0" fillId="0" borderId="11" xfId="0" applyBorder="1"/>
    <xf numFmtId="0" fontId="0" fillId="0" borderId="12" xfId="0" applyBorder="1"/>
    <xf numFmtId="0" fontId="5" fillId="0" borderId="13" xfId="0" applyFont="1" applyBorder="1" applyAlignment="1">
      <alignment horizontal="center"/>
    </xf>
    <xf numFmtId="0" fontId="5" fillId="0" borderId="14" xfId="0" applyFont="1" applyBorder="1" applyAlignment="1">
      <alignment horizontal="center"/>
    </xf>
    <xf numFmtId="0" fontId="6" fillId="2" borderId="8" xfId="0" applyFont="1" applyFill="1" applyBorder="1" applyAlignment="1">
      <alignment horizontal="center"/>
    </xf>
    <xf numFmtId="0" fontId="6" fillId="2" borderId="15" xfId="0" applyFont="1" applyFill="1" applyBorder="1" applyAlignment="1">
      <alignment horizontal="center"/>
    </xf>
    <xf numFmtId="0" fontId="0" fillId="0" borderId="8" xfId="0" pivotButton="1" applyBorder="1" applyAlignment="1">
      <alignment horizontal="center"/>
    </xf>
    <xf numFmtId="0" fontId="0" fillId="0" borderId="15" xfId="0" applyBorder="1" applyAlignment="1">
      <alignment horizontal="center"/>
    </xf>
    <xf numFmtId="0" fontId="0" fillId="0" borderId="8" xfId="0" applyBorder="1" applyAlignment="1">
      <alignment horizontal="center"/>
    </xf>
    <xf numFmtId="178" fontId="0" fillId="0" borderId="15" xfId="0" applyNumberFormat="1" applyBorder="1" applyAlignment="1">
      <alignment horizontal="center"/>
    </xf>
    <xf numFmtId="0" fontId="0" fillId="0" borderId="16" xfId="0" applyBorder="1"/>
    <xf numFmtId="0" fontId="5" fillId="0" borderId="17" xfId="0" applyFont="1" applyBorder="1" applyAlignment="1">
      <alignment horizontal="center"/>
    </xf>
    <xf numFmtId="0" fontId="0" fillId="0" borderId="4" xfId="0" applyBorder="1"/>
    <xf numFmtId="0" fontId="0" fillId="0" borderId="5" xfId="0" applyBorder="1"/>
    <xf numFmtId="0" fontId="8" fillId="3" borderId="8" xfId="0" applyFont="1" applyFill="1" applyBorder="1" applyAlignment="1">
      <alignment horizontal="center"/>
    </xf>
    <xf numFmtId="0" fontId="0" fillId="0" borderId="9" xfId="0" applyBorder="1" applyAlignment="1">
      <alignment horizontal="center"/>
    </xf>
    <xf numFmtId="178" fontId="0" fillId="0" borderId="10" xfId="0" applyNumberFormat="1" applyBorder="1" applyAlignment="1">
      <alignment horizontal="center"/>
    </xf>
    <xf numFmtId="178" fontId="0" fillId="0" borderId="18" xfId="0" applyNumberFormat="1" applyBorder="1" applyAlignment="1">
      <alignment horizontal="center"/>
    </xf>
  </cellXfs>
  <cellStyles count="1">
    <cellStyle name="Normal" xfId="0" builtinId="0"/>
  </cellStyles>
  <dxfs count="1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rgb="FFFF0000"/>
      </font>
      <fill>
        <patternFill>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0"/>
        <family val="2"/>
      </font>
      <fill>
        <patternFill patternType="solid">
          <fgColor indexed="64"/>
          <bgColor rgb="FF7030A0"/>
        </patternFill>
      </fill>
    </dxf>
    <dxf>
      <font>
        <color theme="0"/>
      </font>
    </dxf>
    <dxf>
      <fill>
        <patternFill patternType="solid">
          <bgColor rgb="FF7030A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178" formatCode="_ * #,##0.0_ ;_ * \-#,##0.0_ ;_ * &quot;-&quot;??_ ;_ @_ "/>
    </dxf>
    <dxf>
      <numFmt numFmtId="178" formatCode="_ * #,##0.0_ ;_ * \-#,##0.0_ ;_ * &quot;-&quot;??_ ;_ @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Club Advanced Excel Analysis.xlsx]Dashboard!PivotTable3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Dashboard!$D$10:$D$11</c:f>
              <c:strCache>
                <c:ptCount val="1"/>
                <c:pt idx="0">
                  <c:v>Sum of Total_Revenue</c:v>
                </c:pt>
              </c:strCache>
            </c:strRef>
          </c:tx>
          <c:spPr>
            <a:solidFill>
              <a:schemeClr val="accent1"/>
            </a:solidFill>
            <a:ln>
              <a:noFill/>
            </a:ln>
            <a:effectLst/>
          </c:spPr>
          <c:invertIfNegative val="0"/>
          <c:cat>
            <c:multiLvlStrRef>
              <c:f>Dashboard!$A$12:$C$48</c:f>
              <c:multiLvlStrCache>
                <c:ptCount val="30"/>
                <c:lvl>
                  <c:pt idx="0">
                    <c:v>No</c:v>
                  </c:pt>
                  <c:pt idx="1">
                    <c:v>Yes</c:v>
                  </c:pt>
                  <c:pt idx="2">
                    <c:v>No</c:v>
                  </c:pt>
                  <c:pt idx="3">
                    <c:v>Yes</c:v>
                  </c:pt>
                  <c:pt idx="4">
                    <c:v>No</c:v>
                  </c:pt>
                  <c:pt idx="5">
                    <c:v>Yes</c:v>
                  </c:pt>
                  <c:pt idx="6">
                    <c:v>No</c:v>
                  </c:pt>
                  <c:pt idx="7">
                    <c:v>Yes</c:v>
                  </c:pt>
                  <c:pt idx="8">
                    <c:v>Yes</c:v>
                  </c:pt>
                  <c:pt idx="9">
                    <c:v>Yes</c:v>
                  </c:pt>
                  <c:pt idx="10">
                    <c:v>No</c:v>
                  </c:pt>
                  <c:pt idx="11">
                    <c:v>No</c:v>
                  </c:pt>
                  <c:pt idx="12">
                    <c:v>Yes</c:v>
                  </c:pt>
                  <c:pt idx="13">
                    <c:v>Yes</c:v>
                  </c:pt>
                  <c:pt idx="14">
                    <c:v>No</c:v>
                  </c:pt>
                  <c:pt idx="15">
                    <c:v>No</c:v>
                  </c:pt>
                  <c:pt idx="16">
                    <c:v>No</c:v>
                  </c:pt>
                  <c:pt idx="17">
                    <c:v>Yes</c:v>
                  </c:pt>
                  <c:pt idx="18">
                    <c:v>No</c:v>
                  </c:pt>
                  <c:pt idx="19">
                    <c:v>Yes</c:v>
                  </c:pt>
                  <c:pt idx="20">
                    <c:v>No</c:v>
                  </c:pt>
                  <c:pt idx="21">
                    <c:v>Yes</c:v>
                  </c:pt>
                  <c:pt idx="22">
                    <c:v>No</c:v>
                  </c:pt>
                  <c:pt idx="23">
                    <c:v>No</c:v>
                  </c:pt>
                  <c:pt idx="24">
                    <c:v>No</c:v>
                  </c:pt>
                  <c:pt idx="25">
                    <c:v>Yes</c:v>
                  </c:pt>
                  <c:pt idx="26">
                    <c:v>No</c:v>
                  </c:pt>
                  <c:pt idx="27">
                    <c:v>Yes</c:v>
                  </c:pt>
                  <c:pt idx="28">
                    <c:v>Yes</c:v>
                  </c:pt>
                  <c:pt idx="29">
                    <c:v>No</c:v>
                  </c:pt>
                </c:lvl>
                <c:lvl>
                  <c:pt idx="0">
                    <c:v>Basic</c:v>
                  </c:pt>
                  <c:pt idx="2">
                    <c:v>Family</c:v>
                  </c:pt>
                  <c:pt idx="4">
                    <c:v>Premium</c:v>
                  </c:pt>
                  <c:pt idx="6">
                    <c:v>Standard</c:v>
                  </c:pt>
                  <c:pt idx="8">
                    <c:v>Basic</c:v>
                  </c:pt>
                  <c:pt idx="9">
                    <c:v>Family</c:v>
                  </c:pt>
                  <c:pt idx="10">
                    <c:v>Premium</c:v>
                  </c:pt>
                  <c:pt idx="11">
                    <c:v>Standard</c:v>
                  </c:pt>
                  <c:pt idx="13">
                    <c:v>Basic</c:v>
                  </c:pt>
                  <c:pt idx="14">
                    <c:v>Family</c:v>
                  </c:pt>
                  <c:pt idx="15">
                    <c:v>Premium</c:v>
                  </c:pt>
                  <c:pt idx="16">
                    <c:v>Standard</c:v>
                  </c:pt>
                  <c:pt idx="17">
                    <c:v>Basic</c:v>
                  </c:pt>
                  <c:pt idx="18">
                    <c:v>Family</c:v>
                  </c:pt>
                  <c:pt idx="20">
                    <c:v>Premium</c:v>
                  </c:pt>
                  <c:pt idx="21">
                    <c:v>Standard</c:v>
                  </c:pt>
                  <c:pt idx="22">
                    <c:v>Basic</c:v>
                  </c:pt>
                  <c:pt idx="23">
                    <c:v>Family</c:v>
                  </c:pt>
                  <c:pt idx="24">
                    <c:v>Standard</c:v>
                  </c:pt>
                  <c:pt idx="26">
                    <c:v>Basic</c:v>
                  </c:pt>
                  <c:pt idx="28">
                    <c:v>Premium</c:v>
                  </c:pt>
                  <c:pt idx="29">
                    <c:v>Standard</c:v>
                  </c:pt>
                </c:lvl>
                <c:lvl>
                  <c:pt idx="0">
                    <c:v>Mumbai</c:v>
                  </c:pt>
                  <c:pt idx="8">
                    <c:v>Bengaluru</c:v>
                  </c:pt>
                  <c:pt idx="13">
                    <c:v>Delhi</c:v>
                  </c:pt>
                  <c:pt idx="17">
                    <c:v>Kolkata</c:v>
                  </c:pt>
                  <c:pt idx="22">
                    <c:v>Hyderabad</c:v>
                  </c:pt>
                  <c:pt idx="26">
                    <c:v>Pune</c:v>
                  </c:pt>
                </c:lvl>
              </c:multiLvlStrCache>
            </c:multiLvlStrRef>
          </c:cat>
          <c:val>
            <c:numRef>
              <c:f>Dashboard!$D$12:$D$48</c:f>
              <c:numCache>
                <c:formatCode>0.0</c:formatCode>
                <c:ptCount val="30"/>
                <c:pt idx="0">
                  <c:v>9360.0000000000018</c:v>
                </c:pt>
                <c:pt idx="1">
                  <c:v>2000</c:v>
                </c:pt>
                <c:pt idx="2">
                  <c:v>2333.3333333333335</c:v>
                </c:pt>
                <c:pt idx="3">
                  <c:v>15916.666666666666</c:v>
                </c:pt>
                <c:pt idx="4">
                  <c:v>31680.000000000004</c:v>
                </c:pt>
                <c:pt idx="5">
                  <c:v>5160</c:v>
                </c:pt>
                <c:pt idx="6">
                  <c:v>15600</c:v>
                </c:pt>
                <c:pt idx="7">
                  <c:v>3120</c:v>
                </c:pt>
                <c:pt idx="8">
                  <c:v>5066.6666666666661</c:v>
                </c:pt>
                <c:pt idx="9">
                  <c:v>17916.666666666668</c:v>
                </c:pt>
                <c:pt idx="10">
                  <c:v>17760</c:v>
                </c:pt>
                <c:pt idx="11">
                  <c:v>11640</c:v>
                </c:pt>
                <c:pt idx="12">
                  <c:v>6480</c:v>
                </c:pt>
                <c:pt idx="13">
                  <c:v>15146.666666666666</c:v>
                </c:pt>
                <c:pt idx="14">
                  <c:v>36333.333333333336</c:v>
                </c:pt>
                <c:pt idx="15">
                  <c:v>240</c:v>
                </c:pt>
                <c:pt idx="16">
                  <c:v>1000</c:v>
                </c:pt>
                <c:pt idx="17">
                  <c:v>346.66666666666669</c:v>
                </c:pt>
                <c:pt idx="18">
                  <c:v>2500</c:v>
                </c:pt>
                <c:pt idx="19">
                  <c:v>6500</c:v>
                </c:pt>
                <c:pt idx="20">
                  <c:v>11880</c:v>
                </c:pt>
                <c:pt idx="21">
                  <c:v>16560</c:v>
                </c:pt>
                <c:pt idx="22">
                  <c:v>5520</c:v>
                </c:pt>
                <c:pt idx="23">
                  <c:v>583.33333333333337</c:v>
                </c:pt>
                <c:pt idx="24">
                  <c:v>14240</c:v>
                </c:pt>
                <c:pt idx="25">
                  <c:v>11520</c:v>
                </c:pt>
                <c:pt idx="26">
                  <c:v>2373.3333333333335</c:v>
                </c:pt>
                <c:pt idx="27">
                  <c:v>693.33333333333337</c:v>
                </c:pt>
                <c:pt idx="28">
                  <c:v>7980</c:v>
                </c:pt>
                <c:pt idx="29">
                  <c:v>14840</c:v>
                </c:pt>
              </c:numCache>
            </c:numRef>
          </c:val>
          <c:extLst>
            <c:ext xmlns:c16="http://schemas.microsoft.com/office/drawing/2014/chart" uri="{C3380CC4-5D6E-409C-BE32-E72D297353CC}">
              <c16:uniqueId val="{00000000-9E07-4D9A-A735-E4FF5FE235CE}"/>
            </c:ext>
          </c:extLst>
        </c:ser>
        <c:ser>
          <c:idx val="2"/>
          <c:order val="2"/>
          <c:tx>
            <c:strRef>
              <c:f>Dashboard!$F$10:$F$11</c:f>
              <c:strCache>
                <c:ptCount val="1"/>
                <c:pt idx="0">
                  <c:v>Count of Member_ID</c:v>
                </c:pt>
              </c:strCache>
            </c:strRef>
          </c:tx>
          <c:spPr>
            <a:solidFill>
              <a:schemeClr val="accent3"/>
            </a:solidFill>
            <a:ln>
              <a:noFill/>
            </a:ln>
            <a:effectLst/>
          </c:spPr>
          <c:invertIfNegative val="0"/>
          <c:cat>
            <c:multiLvlStrRef>
              <c:f>Dashboard!$A$12:$C$48</c:f>
              <c:multiLvlStrCache>
                <c:ptCount val="30"/>
                <c:lvl>
                  <c:pt idx="0">
                    <c:v>No</c:v>
                  </c:pt>
                  <c:pt idx="1">
                    <c:v>Yes</c:v>
                  </c:pt>
                  <c:pt idx="2">
                    <c:v>No</c:v>
                  </c:pt>
                  <c:pt idx="3">
                    <c:v>Yes</c:v>
                  </c:pt>
                  <c:pt idx="4">
                    <c:v>No</c:v>
                  </c:pt>
                  <c:pt idx="5">
                    <c:v>Yes</c:v>
                  </c:pt>
                  <c:pt idx="6">
                    <c:v>No</c:v>
                  </c:pt>
                  <c:pt idx="7">
                    <c:v>Yes</c:v>
                  </c:pt>
                  <c:pt idx="8">
                    <c:v>Yes</c:v>
                  </c:pt>
                  <c:pt idx="9">
                    <c:v>Yes</c:v>
                  </c:pt>
                  <c:pt idx="10">
                    <c:v>No</c:v>
                  </c:pt>
                  <c:pt idx="11">
                    <c:v>No</c:v>
                  </c:pt>
                  <c:pt idx="12">
                    <c:v>Yes</c:v>
                  </c:pt>
                  <c:pt idx="13">
                    <c:v>Yes</c:v>
                  </c:pt>
                  <c:pt idx="14">
                    <c:v>No</c:v>
                  </c:pt>
                  <c:pt idx="15">
                    <c:v>No</c:v>
                  </c:pt>
                  <c:pt idx="16">
                    <c:v>No</c:v>
                  </c:pt>
                  <c:pt idx="17">
                    <c:v>Yes</c:v>
                  </c:pt>
                  <c:pt idx="18">
                    <c:v>No</c:v>
                  </c:pt>
                  <c:pt idx="19">
                    <c:v>Yes</c:v>
                  </c:pt>
                  <c:pt idx="20">
                    <c:v>No</c:v>
                  </c:pt>
                  <c:pt idx="21">
                    <c:v>Yes</c:v>
                  </c:pt>
                  <c:pt idx="22">
                    <c:v>No</c:v>
                  </c:pt>
                  <c:pt idx="23">
                    <c:v>No</c:v>
                  </c:pt>
                  <c:pt idx="24">
                    <c:v>No</c:v>
                  </c:pt>
                  <c:pt idx="25">
                    <c:v>Yes</c:v>
                  </c:pt>
                  <c:pt idx="26">
                    <c:v>No</c:v>
                  </c:pt>
                  <c:pt idx="27">
                    <c:v>Yes</c:v>
                  </c:pt>
                  <c:pt idx="28">
                    <c:v>Yes</c:v>
                  </c:pt>
                  <c:pt idx="29">
                    <c:v>No</c:v>
                  </c:pt>
                </c:lvl>
                <c:lvl>
                  <c:pt idx="0">
                    <c:v>Basic</c:v>
                  </c:pt>
                  <c:pt idx="2">
                    <c:v>Family</c:v>
                  </c:pt>
                  <c:pt idx="4">
                    <c:v>Premium</c:v>
                  </c:pt>
                  <c:pt idx="6">
                    <c:v>Standard</c:v>
                  </c:pt>
                  <c:pt idx="8">
                    <c:v>Basic</c:v>
                  </c:pt>
                  <c:pt idx="9">
                    <c:v>Family</c:v>
                  </c:pt>
                  <c:pt idx="10">
                    <c:v>Premium</c:v>
                  </c:pt>
                  <c:pt idx="11">
                    <c:v>Standard</c:v>
                  </c:pt>
                  <c:pt idx="13">
                    <c:v>Basic</c:v>
                  </c:pt>
                  <c:pt idx="14">
                    <c:v>Family</c:v>
                  </c:pt>
                  <c:pt idx="15">
                    <c:v>Premium</c:v>
                  </c:pt>
                  <c:pt idx="16">
                    <c:v>Standard</c:v>
                  </c:pt>
                  <c:pt idx="17">
                    <c:v>Basic</c:v>
                  </c:pt>
                  <c:pt idx="18">
                    <c:v>Family</c:v>
                  </c:pt>
                  <c:pt idx="20">
                    <c:v>Premium</c:v>
                  </c:pt>
                  <c:pt idx="21">
                    <c:v>Standard</c:v>
                  </c:pt>
                  <c:pt idx="22">
                    <c:v>Basic</c:v>
                  </c:pt>
                  <c:pt idx="23">
                    <c:v>Family</c:v>
                  </c:pt>
                  <c:pt idx="24">
                    <c:v>Standard</c:v>
                  </c:pt>
                  <c:pt idx="26">
                    <c:v>Basic</c:v>
                  </c:pt>
                  <c:pt idx="28">
                    <c:v>Premium</c:v>
                  </c:pt>
                  <c:pt idx="29">
                    <c:v>Standard</c:v>
                  </c:pt>
                </c:lvl>
                <c:lvl>
                  <c:pt idx="0">
                    <c:v>Mumbai</c:v>
                  </c:pt>
                  <c:pt idx="8">
                    <c:v>Bengaluru</c:v>
                  </c:pt>
                  <c:pt idx="13">
                    <c:v>Delhi</c:v>
                  </c:pt>
                  <c:pt idx="17">
                    <c:v>Kolkata</c:v>
                  </c:pt>
                  <c:pt idx="22">
                    <c:v>Hyderabad</c:v>
                  </c:pt>
                  <c:pt idx="26">
                    <c:v>Pune</c:v>
                  </c:pt>
                </c:lvl>
              </c:multiLvlStrCache>
            </c:multiLvlStrRef>
          </c:cat>
          <c:val>
            <c:numRef>
              <c:f>Dashboard!$F$12:$F$48</c:f>
              <c:numCache>
                <c:formatCode>General</c:formatCode>
                <c:ptCount val="30"/>
                <c:pt idx="0">
                  <c:v>2</c:v>
                </c:pt>
                <c:pt idx="1">
                  <c:v>1</c:v>
                </c:pt>
                <c:pt idx="2">
                  <c:v>1</c:v>
                </c:pt>
                <c:pt idx="3">
                  <c:v>1</c:v>
                </c:pt>
                <c:pt idx="4">
                  <c:v>1</c:v>
                </c:pt>
                <c:pt idx="5">
                  <c:v>1</c:v>
                </c:pt>
                <c:pt idx="6">
                  <c:v>2</c:v>
                </c:pt>
                <c:pt idx="7">
                  <c:v>1</c:v>
                </c:pt>
                <c:pt idx="8">
                  <c:v>1</c:v>
                </c:pt>
                <c:pt idx="9">
                  <c:v>1</c:v>
                </c:pt>
                <c:pt idx="10">
                  <c:v>1</c:v>
                </c:pt>
                <c:pt idx="11">
                  <c:v>1</c:v>
                </c:pt>
                <c:pt idx="12">
                  <c:v>1</c:v>
                </c:pt>
                <c:pt idx="13">
                  <c:v>1</c:v>
                </c:pt>
                <c:pt idx="14">
                  <c:v>1</c:v>
                </c:pt>
                <c:pt idx="15">
                  <c:v>1</c:v>
                </c:pt>
                <c:pt idx="16">
                  <c:v>1</c:v>
                </c:pt>
                <c:pt idx="17">
                  <c:v>1</c:v>
                </c:pt>
                <c:pt idx="18">
                  <c:v>1</c:v>
                </c:pt>
                <c:pt idx="19">
                  <c:v>1</c:v>
                </c:pt>
                <c:pt idx="20">
                  <c:v>2</c:v>
                </c:pt>
                <c:pt idx="21">
                  <c:v>1</c:v>
                </c:pt>
                <c:pt idx="22">
                  <c:v>1</c:v>
                </c:pt>
                <c:pt idx="23">
                  <c:v>1</c:v>
                </c:pt>
                <c:pt idx="24">
                  <c:v>1</c:v>
                </c:pt>
                <c:pt idx="25">
                  <c:v>2</c:v>
                </c:pt>
                <c:pt idx="26">
                  <c:v>1</c:v>
                </c:pt>
                <c:pt idx="27">
                  <c:v>1</c:v>
                </c:pt>
                <c:pt idx="28">
                  <c:v>1</c:v>
                </c:pt>
                <c:pt idx="29">
                  <c:v>2</c:v>
                </c:pt>
              </c:numCache>
            </c:numRef>
          </c:val>
          <c:extLst>
            <c:ext xmlns:c16="http://schemas.microsoft.com/office/drawing/2014/chart" uri="{C3380CC4-5D6E-409C-BE32-E72D297353CC}">
              <c16:uniqueId val="{00000004-9E07-4D9A-A735-E4FF5FE235CE}"/>
            </c:ext>
          </c:extLst>
        </c:ser>
        <c:dLbls>
          <c:showLegendKey val="0"/>
          <c:showVal val="0"/>
          <c:showCatName val="0"/>
          <c:showSerName val="0"/>
          <c:showPercent val="0"/>
          <c:showBubbleSize val="0"/>
        </c:dLbls>
        <c:gapWidth val="150"/>
        <c:axId val="288027919"/>
        <c:axId val="286538687"/>
      </c:barChart>
      <c:lineChart>
        <c:grouping val="stacked"/>
        <c:varyColors val="0"/>
        <c:ser>
          <c:idx val="1"/>
          <c:order val="1"/>
          <c:tx>
            <c:strRef>
              <c:f>Dashboard!$E$10:$E$11</c:f>
              <c:strCache>
                <c:ptCount val="1"/>
                <c:pt idx="0">
                  <c:v>Average of per member</c:v>
                </c:pt>
              </c:strCache>
            </c:strRef>
          </c:tx>
          <c:spPr>
            <a:ln w="28575" cap="rnd">
              <a:solidFill>
                <a:schemeClr val="accent2"/>
              </a:solidFill>
              <a:round/>
            </a:ln>
            <a:effectLst/>
          </c:spPr>
          <c:marker>
            <c:symbol val="none"/>
          </c:marker>
          <c:cat>
            <c:multiLvlStrRef>
              <c:f>Dashboard!$A$12:$C$48</c:f>
              <c:multiLvlStrCache>
                <c:ptCount val="30"/>
                <c:lvl>
                  <c:pt idx="0">
                    <c:v>No</c:v>
                  </c:pt>
                  <c:pt idx="1">
                    <c:v>Yes</c:v>
                  </c:pt>
                  <c:pt idx="2">
                    <c:v>No</c:v>
                  </c:pt>
                  <c:pt idx="3">
                    <c:v>Yes</c:v>
                  </c:pt>
                  <c:pt idx="4">
                    <c:v>No</c:v>
                  </c:pt>
                  <c:pt idx="5">
                    <c:v>Yes</c:v>
                  </c:pt>
                  <c:pt idx="6">
                    <c:v>No</c:v>
                  </c:pt>
                  <c:pt idx="7">
                    <c:v>Yes</c:v>
                  </c:pt>
                  <c:pt idx="8">
                    <c:v>Yes</c:v>
                  </c:pt>
                  <c:pt idx="9">
                    <c:v>Yes</c:v>
                  </c:pt>
                  <c:pt idx="10">
                    <c:v>No</c:v>
                  </c:pt>
                  <c:pt idx="11">
                    <c:v>No</c:v>
                  </c:pt>
                  <c:pt idx="12">
                    <c:v>Yes</c:v>
                  </c:pt>
                  <c:pt idx="13">
                    <c:v>Yes</c:v>
                  </c:pt>
                  <c:pt idx="14">
                    <c:v>No</c:v>
                  </c:pt>
                  <c:pt idx="15">
                    <c:v>No</c:v>
                  </c:pt>
                  <c:pt idx="16">
                    <c:v>No</c:v>
                  </c:pt>
                  <c:pt idx="17">
                    <c:v>Yes</c:v>
                  </c:pt>
                  <c:pt idx="18">
                    <c:v>No</c:v>
                  </c:pt>
                  <c:pt idx="19">
                    <c:v>Yes</c:v>
                  </c:pt>
                  <c:pt idx="20">
                    <c:v>No</c:v>
                  </c:pt>
                  <c:pt idx="21">
                    <c:v>Yes</c:v>
                  </c:pt>
                  <c:pt idx="22">
                    <c:v>No</c:v>
                  </c:pt>
                  <c:pt idx="23">
                    <c:v>No</c:v>
                  </c:pt>
                  <c:pt idx="24">
                    <c:v>No</c:v>
                  </c:pt>
                  <c:pt idx="25">
                    <c:v>Yes</c:v>
                  </c:pt>
                  <c:pt idx="26">
                    <c:v>No</c:v>
                  </c:pt>
                  <c:pt idx="27">
                    <c:v>Yes</c:v>
                  </c:pt>
                  <c:pt idx="28">
                    <c:v>Yes</c:v>
                  </c:pt>
                  <c:pt idx="29">
                    <c:v>No</c:v>
                  </c:pt>
                </c:lvl>
                <c:lvl>
                  <c:pt idx="0">
                    <c:v>Basic</c:v>
                  </c:pt>
                  <c:pt idx="2">
                    <c:v>Family</c:v>
                  </c:pt>
                  <c:pt idx="4">
                    <c:v>Premium</c:v>
                  </c:pt>
                  <c:pt idx="6">
                    <c:v>Standard</c:v>
                  </c:pt>
                  <c:pt idx="8">
                    <c:v>Basic</c:v>
                  </c:pt>
                  <c:pt idx="9">
                    <c:v>Family</c:v>
                  </c:pt>
                  <c:pt idx="10">
                    <c:v>Premium</c:v>
                  </c:pt>
                  <c:pt idx="11">
                    <c:v>Standard</c:v>
                  </c:pt>
                  <c:pt idx="13">
                    <c:v>Basic</c:v>
                  </c:pt>
                  <c:pt idx="14">
                    <c:v>Family</c:v>
                  </c:pt>
                  <c:pt idx="15">
                    <c:v>Premium</c:v>
                  </c:pt>
                  <c:pt idx="16">
                    <c:v>Standard</c:v>
                  </c:pt>
                  <c:pt idx="17">
                    <c:v>Basic</c:v>
                  </c:pt>
                  <c:pt idx="18">
                    <c:v>Family</c:v>
                  </c:pt>
                  <c:pt idx="20">
                    <c:v>Premium</c:v>
                  </c:pt>
                  <c:pt idx="21">
                    <c:v>Standard</c:v>
                  </c:pt>
                  <c:pt idx="22">
                    <c:v>Basic</c:v>
                  </c:pt>
                  <c:pt idx="23">
                    <c:v>Family</c:v>
                  </c:pt>
                  <c:pt idx="24">
                    <c:v>Standard</c:v>
                  </c:pt>
                  <c:pt idx="26">
                    <c:v>Basic</c:v>
                  </c:pt>
                  <c:pt idx="28">
                    <c:v>Premium</c:v>
                  </c:pt>
                  <c:pt idx="29">
                    <c:v>Standard</c:v>
                  </c:pt>
                </c:lvl>
                <c:lvl>
                  <c:pt idx="0">
                    <c:v>Mumbai</c:v>
                  </c:pt>
                  <c:pt idx="8">
                    <c:v>Bengaluru</c:v>
                  </c:pt>
                  <c:pt idx="13">
                    <c:v>Delhi</c:v>
                  </c:pt>
                  <c:pt idx="17">
                    <c:v>Kolkata</c:v>
                  </c:pt>
                  <c:pt idx="22">
                    <c:v>Hyderabad</c:v>
                  </c:pt>
                  <c:pt idx="26">
                    <c:v>Pune</c:v>
                  </c:pt>
                </c:lvl>
              </c:multiLvlStrCache>
            </c:multiLvlStrRef>
          </c:cat>
          <c:val>
            <c:numRef>
              <c:f>Dashboard!$E$12:$E$48</c:f>
              <c:numCache>
                <c:formatCode>0.0</c:formatCode>
                <c:ptCount val="30"/>
                <c:pt idx="0">
                  <c:v>4680.0000000000009</c:v>
                </c:pt>
                <c:pt idx="1">
                  <c:v>2000</c:v>
                </c:pt>
                <c:pt idx="2">
                  <c:v>2333.3333333333335</c:v>
                </c:pt>
                <c:pt idx="3">
                  <c:v>15916.666666666666</c:v>
                </c:pt>
                <c:pt idx="4">
                  <c:v>31680.000000000004</c:v>
                </c:pt>
                <c:pt idx="5">
                  <c:v>5160</c:v>
                </c:pt>
                <c:pt idx="6">
                  <c:v>7800</c:v>
                </c:pt>
                <c:pt idx="7">
                  <c:v>3120</c:v>
                </c:pt>
                <c:pt idx="8">
                  <c:v>5066.6666666666661</c:v>
                </c:pt>
                <c:pt idx="9">
                  <c:v>17916.666666666668</c:v>
                </c:pt>
                <c:pt idx="10">
                  <c:v>17760</c:v>
                </c:pt>
                <c:pt idx="11">
                  <c:v>11640</c:v>
                </c:pt>
                <c:pt idx="12">
                  <c:v>6480</c:v>
                </c:pt>
                <c:pt idx="13">
                  <c:v>15146.666666666666</c:v>
                </c:pt>
                <c:pt idx="14">
                  <c:v>36333.333333333336</c:v>
                </c:pt>
                <c:pt idx="15">
                  <c:v>240</c:v>
                </c:pt>
                <c:pt idx="16">
                  <c:v>1000</c:v>
                </c:pt>
                <c:pt idx="17">
                  <c:v>346.66666666666669</c:v>
                </c:pt>
                <c:pt idx="18">
                  <c:v>2500</c:v>
                </c:pt>
                <c:pt idx="19">
                  <c:v>6500</c:v>
                </c:pt>
                <c:pt idx="20">
                  <c:v>5940</c:v>
                </c:pt>
                <c:pt idx="21">
                  <c:v>16560</c:v>
                </c:pt>
                <c:pt idx="22">
                  <c:v>5520</c:v>
                </c:pt>
                <c:pt idx="23">
                  <c:v>583.33333333333337</c:v>
                </c:pt>
                <c:pt idx="24">
                  <c:v>14240</c:v>
                </c:pt>
                <c:pt idx="25">
                  <c:v>5760</c:v>
                </c:pt>
                <c:pt idx="26">
                  <c:v>2373.3333333333335</c:v>
                </c:pt>
                <c:pt idx="27">
                  <c:v>693.33333333333337</c:v>
                </c:pt>
                <c:pt idx="28">
                  <c:v>7980</c:v>
                </c:pt>
                <c:pt idx="29">
                  <c:v>7420</c:v>
                </c:pt>
              </c:numCache>
            </c:numRef>
          </c:val>
          <c:smooth val="0"/>
          <c:extLst>
            <c:ext xmlns:c16="http://schemas.microsoft.com/office/drawing/2014/chart" uri="{C3380CC4-5D6E-409C-BE32-E72D297353CC}">
              <c16:uniqueId val="{00000001-9E07-4D9A-A735-E4FF5FE235CE}"/>
            </c:ext>
          </c:extLst>
        </c:ser>
        <c:dLbls>
          <c:showLegendKey val="0"/>
          <c:showVal val="0"/>
          <c:showCatName val="0"/>
          <c:showSerName val="0"/>
          <c:showPercent val="0"/>
          <c:showBubbleSize val="0"/>
        </c:dLbls>
        <c:marker val="1"/>
        <c:smooth val="0"/>
        <c:axId val="288027919"/>
        <c:axId val="286538687"/>
      </c:lineChart>
      <c:catAx>
        <c:axId val="28802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90" b="0" i="0" u="none" strike="noStrike" kern="1200" baseline="0">
                <a:solidFill>
                  <a:schemeClr val="tx1"/>
                </a:solidFill>
                <a:latin typeface="+mn-lt"/>
                <a:ea typeface="+mn-ea"/>
                <a:cs typeface="+mn-cs"/>
              </a:defRPr>
            </a:pPr>
            <a:endParaRPr lang="en-US"/>
          </a:p>
        </c:txPr>
        <c:crossAx val="286538687"/>
        <c:crosses val="autoZero"/>
        <c:auto val="1"/>
        <c:lblAlgn val="ctr"/>
        <c:lblOffset val="100"/>
        <c:noMultiLvlLbl val="0"/>
      </c:catAx>
      <c:valAx>
        <c:axId val="286538687"/>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27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323849</xdr:colOff>
      <xdr:row>9</xdr:row>
      <xdr:rowOff>0</xdr:rowOff>
    </xdr:from>
    <xdr:to>
      <xdr:col>21</xdr:col>
      <xdr:colOff>466725</xdr:colOff>
      <xdr:row>41</xdr:row>
      <xdr:rowOff>28575</xdr:rowOff>
    </xdr:to>
    <xdr:graphicFrame macro="">
      <xdr:nvGraphicFramePr>
        <xdr:cNvPr id="9" name="Chart 8">
          <a:extLst>
            <a:ext uri="{FF2B5EF4-FFF2-40B4-BE49-F238E27FC236}">
              <a16:creationId xmlns:a16="http://schemas.microsoft.com/office/drawing/2014/main" id="{99A9414A-F179-8006-F074-40D97FD56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426975</xdr:colOff>
      <xdr:row>3</xdr:row>
      <xdr:rowOff>47625</xdr:rowOff>
    </xdr:from>
    <xdr:to>
      <xdr:col>15</xdr:col>
      <xdr:colOff>561975</xdr:colOff>
      <xdr:row>8</xdr:row>
      <xdr:rowOff>69674</xdr:rowOff>
    </xdr:to>
    <xdr:grpSp>
      <xdr:nvGrpSpPr>
        <xdr:cNvPr id="18" name="Group 17">
          <a:extLst>
            <a:ext uri="{FF2B5EF4-FFF2-40B4-BE49-F238E27FC236}">
              <a16:creationId xmlns:a16="http://schemas.microsoft.com/office/drawing/2014/main" id="{48A823FD-9151-B121-E80B-7AFB5F7BA6ED}"/>
            </a:ext>
          </a:extLst>
        </xdr:cNvPr>
        <xdr:cNvGrpSpPr/>
      </xdr:nvGrpSpPr>
      <xdr:grpSpPr>
        <a:xfrm>
          <a:off x="1465200" y="619125"/>
          <a:ext cx="12107925" cy="974549"/>
          <a:chOff x="1133475" y="760500"/>
          <a:chExt cx="12107925" cy="974549"/>
        </a:xfrm>
      </xdr:grpSpPr>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5082B35C-DEB0-7BF6-28AB-8B55EC2A6607}"/>
                  </a:ext>
                </a:extLst>
              </xdr:cNvPr>
              <xdr:cNvGraphicFramePr/>
            </xdr:nvGraphicFramePr>
            <xdr:xfrm>
              <a:off x="1133475" y="781049"/>
              <a:ext cx="1449450" cy="95400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65200" y="639674"/>
                <a:ext cx="1449450" cy="95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Membership_Type">
                <a:extLst>
                  <a:ext uri="{FF2B5EF4-FFF2-40B4-BE49-F238E27FC236}">
                    <a16:creationId xmlns:a16="http://schemas.microsoft.com/office/drawing/2014/main" id="{730FAC86-0F7F-BA37-1C04-94F6EB0312BE}"/>
                  </a:ext>
                </a:extLst>
              </xdr:cNvPr>
              <xdr:cNvGraphicFramePr/>
            </xdr:nvGraphicFramePr>
            <xdr:xfrm>
              <a:off x="3438525" y="762000"/>
              <a:ext cx="2756026" cy="95400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3770250" y="620625"/>
                <a:ext cx="2756026" cy="95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338393F3-AE26-3D3D-EEC4-9945C31BC506}"/>
                  </a:ext>
                </a:extLst>
              </xdr:cNvPr>
              <xdr:cNvGraphicFramePr/>
            </xdr:nvGraphicFramePr>
            <xdr:xfrm>
              <a:off x="7119750" y="762000"/>
              <a:ext cx="4062600" cy="95400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451475" y="620625"/>
                <a:ext cx="4062600" cy="95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Referred">
                <a:extLst>
                  <a:ext uri="{FF2B5EF4-FFF2-40B4-BE49-F238E27FC236}">
                    <a16:creationId xmlns:a16="http://schemas.microsoft.com/office/drawing/2014/main" id="{A72911AE-0CFD-3487-101F-155DE904FD4E}"/>
                  </a:ext>
                </a:extLst>
              </xdr:cNvPr>
              <xdr:cNvGraphicFramePr/>
            </xdr:nvGraphicFramePr>
            <xdr:xfrm>
              <a:off x="11791950" y="760500"/>
              <a:ext cx="1449450" cy="95400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12123675" y="619125"/>
                <a:ext cx="1449450" cy="95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refreshedDate="45963.913570023149" createdVersion="8" refreshedVersion="8" minRefreshableVersion="3" recordCount="35" xr:uid="{AB0CACAC-8B21-4E87-812B-F46512B6CD03}">
  <cacheSource type="worksheet">
    <worksheetSource ref="A1:M36" sheet="RAW"/>
  </cacheSource>
  <cacheFields count="13">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_x000a_Duration_Months" numFmtId="173">
      <sharedItems containsSemiMixedTypes="0" containsString="0" containsNumber="1" minValue="0.13333333333333333" maxValue="18.933333333333334"/>
    </cacheField>
    <cacheField name="Refer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refreshedDate="45963.941177199071" createdVersion="8" refreshedVersion="8" minRefreshableVersion="3" recordCount="35" xr:uid="{0A9DA1D0-73C8-49AE-8D43-23FDA9B1E979}">
  <cacheSource type="worksheet">
    <worksheetSource ref="A1:N36" sheet="RAW"/>
  </cacheSource>
  <cacheFields count="15">
    <cacheField name="Member_ID" numFmtId="0">
      <sharedItems/>
    </cacheField>
    <cacheField name="Full_Name" numFmtId="0">
      <sharedItems/>
    </cacheField>
    <cacheField name="Age" numFmtId="0">
      <sharedItems containsSemiMixedTypes="0" containsString="0" containsNumber="1" containsInteger="1" minValue="19" maxValue="59" count="26">
        <n v="59"/>
        <n v="27"/>
        <n v="24"/>
        <n v="31"/>
        <n v="19"/>
        <n v="40"/>
        <n v="41"/>
        <n v="43"/>
        <n v="42"/>
        <n v="37"/>
        <n v="48"/>
        <n v="36"/>
        <n v="39"/>
        <n v="44"/>
        <n v="35"/>
        <n v="56"/>
        <n v="28"/>
        <n v="57"/>
        <n v="26"/>
        <n v="25"/>
        <n v="53"/>
        <n v="29"/>
        <n v="52"/>
        <n v="20"/>
        <n v="22"/>
        <n v="23"/>
      </sharedItems>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1">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_x000a_Duration_Months" numFmtId="173">
      <sharedItems containsSemiMixedTypes="0" containsString="0" containsNumber="1" minValue="0.13333333333333333" maxValue="18.933333333333334"/>
    </cacheField>
    <cacheField name="Referred" numFmtId="0">
      <sharedItems count="2">
        <s v="Yes"/>
        <s v="No"/>
      </sharedItems>
    </cacheField>
    <cacheField name="Total_Revenue" numFmtId="173">
      <sharedItems containsSemiMixedTypes="0" containsString="0" containsNumber="1" minValue="240" maxValue="36333.333333333336"/>
    </cacheField>
    <cacheField name="Avg_revenue" numFmtId="0">
      <sharedItems containsSemiMixedTypes="0" containsString="0" containsNumber="1" minValue="799.99999999999989" maxValue="2500"/>
    </cacheField>
  </cacheFields>
  <extLst>
    <ext xmlns:x14="http://schemas.microsoft.com/office/spreadsheetml/2009/9/main" uri="{725AE2AE-9491-48be-B2B4-4EB974FC3084}">
      <x14:pivotCacheDefinition pivotCacheId="18856187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refreshedDate="45963.97196516204" createdVersion="8" refreshedVersion="8" minRefreshableVersion="3" recordCount="35" xr:uid="{581A05DD-DC51-492E-BF53-F9F41A0C6CAC}">
  <cacheSource type="worksheet">
    <worksheetSource ref="A1:N36" sheet="RAW"/>
  </cacheSource>
  <cacheFields count="15">
    <cacheField name="Member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1">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_x000a_Duration_Months" numFmtId="173">
      <sharedItems containsSemiMixedTypes="0" containsString="0" containsNumber="1" minValue="0.13333333333333333" maxValue="18.933333333333334"/>
    </cacheField>
    <cacheField name="Referred" numFmtId="0">
      <sharedItems count="2">
        <s v="Yes"/>
        <s v="No"/>
      </sharedItems>
    </cacheField>
    <cacheField name="Total_Revenue" numFmtId="173">
      <sharedItems containsSemiMixedTypes="0" containsString="0" containsNumber="1" minValue="240" maxValue="36333.333333333336"/>
    </cacheField>
    <cacheField name="Avg_Revenue" numFmtId="0" formula="IF(Member_ID=0, 0,Total_Revenue /Member_ID)" databaseField="0"/>
  </cacheFields>
  <extLst>
    <ext xmlns:x14="http://schemas.microsoft.com/office/spreadsheetml/2009/9/main" uri="{725AE2AE-9491-48be-B2B4-4EB974FC3084}">
      <x14:pivotCacheDefinition pivotCacheId="18008302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refreshedDate="45963.986923495373" createdVersion="8" refreshedVersion="8" minRefreshableVersion="3" recordCount="35" xr:uid="{7B5E4DEA-5102-45E1-BF76-E87F98275B3A}">
  <cacheSource type="worksheet">
    <worksheetSource ref="A1:O36" sheet="RAW"/>
  </cacheSource>
  <cacheFields count="15">
    <cacheField name="Member_ID" numFmtId="0">
      <sharedItems/>
    </cacheField>
    <cacheField name="Full_Name" numFmtId="0">
      <sharedItems/>
    </cacheField>
    <cacheField name="Age" numFmtId="0">
      <sharedItems containsSemiMixedTypes="0" containsString="0" containsNumber="1" containsInteger="1" minValue="19" maxValue="59" count="26">
        <n v="59"/>
        <n v="27"/>
        <n v="24"/>
        <n v="31"/>
        <n v="19"/>
        <n v="40"/>
        <n v="41"/>
        <n v="43"/>
        <n v="42"/>
        <n v="37"/>
        <n v="48"/>
        <n v="36"/>
        <n v="39"/>
        <n v="44"/>
        <n v="35"/>
        <n v="56"/>
        <n v="28"/>
        <n v="57"/>
        <n v="26"/>
        <n v="25"/>
        <n v="53"/>
        <n v="29"/>
        <n v="52"/>
        <n v="20"/>
        <n v="22"/>
        <n v="23"/>
      </sharedItems>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1">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_x000a_Duration_Months" numFmtId="173">
      <sharedItems containsSemiMixedTypes="0" containsString="0" containsNumber="1" minValue="0.13333333333333333" maxValue="18.933333333333334"/>
    </cacheField>
    <cacheField name="Referred" numFmtId="0">
      <sharedItems/>
    </cacheField>
    <cacheField name="Total_Revenue" numFmtId="173">
      <sharedItems containsSemiMixedTypes="0" containsString="0" containsNumber="1" minValue="240" maxValue="36333.333333333336"/>
    </cacheField>
    <cacheField name="Age Group" numFmtId="0">
      <sharedItems count="3">
        <s v="Senior"/>
        <s v="Youth"/>
        <s v="Adul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6.333333333333333"/>
    <x v="0"/>
  </r>
  <r>
    <s v="M002"/>
    <s v="Parinaaz Shanker"/>
    <n v="27"/>
    <s v="Male"/>
    <x v="0"/>
    <d v="2025-02-26T00:00:00"/>
    <d v="2025-03-24T00:00:00"/>
    <n v="800"/>
    <n v="20"/>
    <x v="1"/>
    <s v="Kiara Kakar"/>
    <n v="0.8666666666666667"/>
    <x v="0"/>
  </r>
  <r>
    <s v="M003"/>
    <s v="Aniruddh Batra"/>
    <n v="24"/>
    <s v="Male"/>
    <x v="1"/>
    <d v="2023-09-22T00:00:00"/>
    <d v="2024-03-20T00:00:00"/>
    <n v="1200"/>
    <n v="18"/>
    <x v="2"/>
    <s v="Jhanvi Chaudhary"/>
    <n v="6"/>
    <x v="0"/>
  </r>
  <r>
    <s v="M004"/>
    <s v="Madhup Kapur"/>
    <n v="31"/>
    <s v="Female"/>
    <x v="1"/>
    <d v="2024-07-06T00:00:00"/>
    <d v="2024-10-22T00:00:00"/>
    <n v="1200"/>
    <n v="16"/>
    <x v="2"/>
    <s v="Tara Swaminathan"/>
    <n v="3.6"/>
    <x v="0"/>
  </r>
  <r>
    <s v="M005"/>
    <s v="Rasha Kakar"/>
    <n v="19"/>
    <s v="Male"/>
    <x v="2"/>
    <d v="2023-12-26T00:00:00"/>
    <d v="2024-07-28T00:00:00"/>
    <n v="2500"/>
    <n v="12"/>
    <x v="0"/>
    <s v="Madhav Singh"/>
    <n v="7.166666666666667"/>
    <x v="0"/>
  </r>
  <r>
    <s v="M006"/>
    <s v="Ehsaan Batra"/>
    <n v="40"/>
    <s v="Male"/>
    <x v="0"/>
    <d v="2024-01-26T00:00:00"/>
    <d v="2024-04-10T00:00:00"/>
    <n v="800"/>
    <n v="14"/>
    <x v="3"/>
    <s v="Shray Ramakrishnan"/>
    <n v="2.5"/>
    <x v="0"/>
  </r>
  <r>
    <s v="M007"/>
    <s v="Zara Bains"/>
    <n v="41"/>
    <s v="Female"/>
    <x v="0"/>
    <d v="2024-10-23T00:00:00"/>
    <d v="2025-01-20T00:00:00"/>
    <n v="800"/>
    <n v="25"/>
    <x v="1"/>
    <m/>
    <n v="2.9666666666666668"/>
    <x v="1"/>
  </r>
  <r>
    <s v="M008"/>
    <s v="Uthkarsh Baral"/>
    <n v="43"/>
    <s v="Male"/>
    <x v="3"/>
    <d v="2024-06-07T00:00:00"/>
    <d v="2024-09-28T00:00:00"/>
    <n v="1800"/>
    <n v="28"/>
    <x v="4"/>
    <m/>
    <n v="3.7666666666666666"/>
    <x v="1"/>
  </r>
  <r>
    <s v="M009"/>
    <s v="Kashvi Char"/>
    <n v="42"/>
    <s v="Male"/>
    <x v="0"/>
    <d v="2024-10-04T00:00:00"/>
    <d v="2024-10-17T00:00:00"/>
    <n v="800"/>
    <n v="3"/>
    <x v="4"/>
    <s v="Nitara Comar"/>
    <n v="0.43333333333333335"/>
    <x v="0"/>
  </r>
  <r>
    <s v="M010"/>
    <s v="Dhanush Varma"/>
    <n v="37"/>
    <s v="Male"/>
    <x v="1"/>
    <d v="2023-10-03T00:00:00"/>
    <d v="2023-12-20T00:00:00"/>
    <n v="1200"/>
    <n v="29"/>
    <x v="3"/>
    <s v="Ranbir Karan"/>
    <n v="2.6"/>
    <x v="0"/>
  </r>
  <r>
    <s v="M011"/>
    <s v="Ishaan Goyal"/>
    <n v="48"/>
    <s v="Female"/>
    <x v="1"/>
    <d v="2024-01-06T00:00:00"/>
    <d v="2024-06-16T00:00:00"/>
    <n v="1200"/>
    <n v="13"/>
    <x v="0"/>
    <s v="Rati Sanghvi"/>
    <n v="5.4"/>
    <x v="0"/>
  </r>
  <r>
    <s v="M012"/>
    <s v="Mahika Ravi"/>
    <n v="36"/>
    <s v="Male"/>
    <x v="1"/>
    <d v="2023-08-16T00:00:00"/>
    <d v="2024-10-03T00:00:00"/>
    <n v="1200"/>
    <n v="19"/>
    <x v="4"/>
    <s v="Ishaan Kashyap"/>
    <n v="13.8"/>
    <x v="0"/>
  </r>
  <r>
    <s v="M013"/>
    <s v="Purab Reddy"/>
    <n v="48"/>
    <s v="Female"/>
    <x v="3"/>
    <d v="2024-09-21T00:00:00"/>
    <d v="2024-12-15T00:00:00"/>
    <n v="1800"/>
    <n v="22"/>
    <x v="4"/>
    <m/>
    <n v="2.8333333333333335"/>
    <x v="1"/>
  </r>
  <r>
    <s v="M014"/>
    <s v="Tiya Soni"/>
    <n v="39"/>
    <s v="Male"/>
    <x v="1"/>
    <d v="2023-05-19T00:00:00"/>
    <d v="2023-11-12T00:00:00"/>
    <n v="1200"/>
    <n v="28"/>
    <x v="3"/>
    <m/>
    <n v="5.9"/>
    <x v="1"/>
  </r>
  <r>
    <s v="M015"/>
    <s v="Zara Dugar"/>
    <n v="44"/>
    <s v="Female"/>
    <x v="0"/>
    <d v="2024-02-11T00:00:00"/>
    <d v="2024-09-05T00:00:00"/>
    <n v="800"/>
    <n v="8"/>
    <x v="2"/>
    <m/>
    <n v="6.9"/>
    <x v="1"/>
  </r>
  <r>
    <s v="M016"/>
    <s v="Lakshit Mander"/>
    <n v="39"/>
    <s v="Male"/>
    <x v="2"/>
    <d v="2025-02-14T00:00:00"/>
    <d v="2025-03-16T00:00:00"/>
    <n v="2500"/>
    <n v="14"/>
    <x v="4"/>
    <m/>
    <n v="1"/>
    <x v="1"/>
  </r>
  <r>
    <s v="M017"/>
    <s v="Neysa Krish"/>
    <n v="35"/>
    <s v="Male"/>
    <x v="1"/>
    <d v="2024-02-07T00:00:00"/>
    <d v="2025-01-28T00:00:00"/>
    <n v="1200"/>
    <n v="25"/>
    <x v="2"/>
    <m/>
    <n v="11.866666666666667"/>
    <x v="1"/>
  </r>
  <r>
    <s v="M018"/>
    <s v="Prerak Boase"/>
    <n v="56"/>
    <s v="Female"/>
    <x v="2"/>
    <d v="2023-10-14T00:00:00"/>
    <d v="2024-12-23T00:00:00"/>
    <n v="2500"/>
    <n v="13"/>
    <x v="5"/>
    <m/>
    <n v="14.533333333333333"/>
    <x v="1"/>
  </r>
  <r>
    <s v="M019"/>
    <s v="Siya Master"/>
    <n v="27"/>
    <s v="Female"/>
    <x v="0"/>
    <d v="2024-03-03T00:00:00"/>
    <d v="2025-01-07T00:00:00"/>
    <n v="800"/>
    <n v="26"/>
    <x v="3"/>
    <m/>
    <n v="10.333333333333334"/>
    <x v="1"/>
  </r>
  <r>
    <s v="M020"/>
    <s v="Madhup Biswas"/>
    <n v="28"/>
    <s v="Male"/>
    <x v="2"/>
    <d v="2024-05-05T00:00:00"/>
    <d v="2024-11-12T00:00:00"/>
    <n v="2500"/>
    <n v="21"/>
    <x v="3"/>
    <s v="Tanya Bajwa"/>
    <n v="6.3666666666666663"/>
    <x v="0"/>
  </r>
  <r>
    <s v="M021"/>
    <s v="Indrans Ratti"/>
    <n v="57"/>
    <s v="Female"/>
    <x v="3"/>
    <d v="2023-08-08T00:00:00"/>
    <d v="2025-01-17T00:00:00"/>
    <n v="1800"/>
    <n v="19"/>
    <x v="3"/>
    <m/>
    <n v="17.600000000000001"/>
    <x v="1"/>
  </r>
  <r>
    <s v="M022"/>
    <s v="Kimaya Balay"/>
    <n v="26"/>
    <s v="Female"/>
    <x v="3"/>
    <d v="2024-01-29T00:00:00"/>
    <d v="2024-11-20T00:00:00"/>
    <n v="1800"/>
    <n v="5"/>
    <x v="0"/>
    <m/>
    <n v="9.8666666666666671"/>
    <x v="1"/>
  </r>
  <r>
    <s v="M023"/>
    <s v="Eva Dass"/>
    <n v="48"/>
    <s v="Male"/>
    <x v="3"/>
    <d v="2024-06-08T00:00:00"/>
    <d v="2024-06-12T00:00:00"/>
    <n v="1800"/>
    <n v="18"/>
    <x v="5"/>
    <m/>
    <n v="0.13333333333333333"/>
    <x v="1"/>
  </r>
  <r>
    <s v="M024"/>
    <s v="Pihu Wali"/>
    <n v="25"/>
    <s v="Female"/>
    <x v="1"/>
    <d v="2024-05-27T00:00:00"/>
    <d v="2025-03-14T00:00:00"/>
    <n v="1200"/>
    <n v="6"/>
    <x v="0"/>
    <m/>
    <n v="9.6999999999999993"/>
    <x v="1"/>
  </r>
  <r>
    <s v="M025"/>
    <s v="Tiya Rege"/>
    <n v="53"/>
    <s v="Male"/>
    <x v="3"/>
    <d v="2023-12-26T00:00:00"/>
    <d v="2024-03-21T00:00:00"/>
    <n v="1800"/>
    <n v="17"/>
    <x v="3"/>
    <s v="Adira Brar"/>
    <n v="2.8666666666666667"/>
    <x v="0"/>
  </r>
  <r>
    <s v="M026"/>
    <s v="Aarav Sen"/>
    <n v="42"/>
    <s v="Female"/>
    <x v="1"/>
    <d v="2025-02-14T00:00:00"/>
    <d v="2025-03-11T00:00:00"/>
    <n v="1200"/>
    <n v="3"/>
    <x v="5"/>
    <m/>
    <n v="0.83333333333333337"/>
    <x v="1"/>
  </r>
  <r>
    <s v="M027"/>
    <s v="Dishani Bera"/>
    <n v="24"/>
    <s v="Male"/>
    <x v="2"/>
    <d v="2025-02-10T00:00:00"/>
    <d v="2025-03-10T00:00:00"/>
    <n v="2500"/>
    <n v="28"/>
    <x v="3"/>
    <m/>
    <n v="0.93333333333333335"/>
    <x v="1"/>
  </r>
  <r>
    <s v="M028"/>
    <s v="Indrans Grover"/>
    <n v="53"/>
    <s v="Male"/>
    <x v="1"/>
    <d v="2024-11-18T00:00:00"/>
    <d v="2024-12-19T00:00:00"/>
    <n v="1200"/>
    <n v="23"/>
    <x v="1"/>
    <m/>
    <n v="1.0333333333333334"/>
    <x v="1"/>
  </r>
  <r>
    <s v="M029"/>
    <s v="Kismat Edwin"/>
    <n v="29"/>
    <s v="Female"/>
    <x v="2"/>
    <d v="2024-04-19T00:00:00"/>
    <d v="2024-04-26T00:00:00"/>
    <n v="2500"/>
    <n v="8"/>
    <x v="2"/>
    <m/>
    <n v="0.23333333333333334"/>
    <x v="1"/>
  </r>
  <r>
    <s v="M030"/>
    <s v="Taran Vyas"/>
    <n v="31"/>
    <s v="Female"/>
    <x v="2"/>
    <d v="2025-01-10T00:00:00"/>
    <d v="2025-03-29T00:00:00"/>
    <n v="2500"/>
    <n v="23"/>
    <x v="4"/>
    <s v="Nakul Balakrishnan"/>
    <n v="2.6"/>
    <x v="0"/>
  </r>
  <r>
    <s v="M031"/>
    <s v="Jiya Baral"/>
    <n v="52"/>
    <s v="Female"/>
    <x v="0"/>
    <d v="2023-06-11T00:00:00"/>
    <d v="2024-12-30T00:00:00"/>
    <n v="800"/>
    <n v="9"/>
    <x v="5"/>
    <s v="Darshit Sidhu"/>
    <n v="18.933333333333334"/>
    <x v="0"/>
  </r>
  <r>
    <s v="M032"/>
    <s v="Gokul Sahni"/>
    <n v="20"/>
    <s v="Male"/>
    <x v="1"/>
    <d v="2024-04-09T00:00:00"/>
    <d v="2024-11-08T00:00:00"/>
    <n v="1200"/>
    <n v="2"/>
    <x v="3"/>
    <m/>
    <n v="7.1"/>
    <x v="1"/>
  </r>
  <r>
    <s v="M033"/>
    <s v="Prerak Lalla"/>
    <n v="22"/>
    <s v="Male"/>
    <x v="0"/>
    <d v="2025-02-11T00:00:00"/>
    <d v="2025-03-24T00:00:00"/>
    <n v="800"/>
    <n v="30"/>
    <x v="3"/>
    <m/>
    <n v="1.3666666666666667"/>
    <x v="1"/>
  </r>
  <r>
    <s v="M034"/>
    <s v="Hrishita Shroff"/>
    <n v="23"/>
    <s v="Male"/>
    <x v="3"/>
    <d v="2024-10-23T00:00:00"/>
    <d v="2025-03-05T00:00:00"/>
    <n v="1800"/>
    <n v="23"/>
    <x v="1"/>
    <s v="Riya Dugal"/>
    <n v="4.4333333333333336"/>
    <x v="0"/>
  </r>
  <r>
    <s v="M035"/>
    <s v="Oorja Sachar"/>
    <n v="27"/>
    <s v="Female"/>
    <x v="1"/>
    <d v="2024-01-21T00:00:00"/>
    <d v="2024-12-26T00:00:00"/>
    <n v="1200"/>
    <n v="27"/>
    <x v="1"/>
    <m/>
    <n v="11.33333333333333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x v="0"/>
    <x v="0"/>
    <x v="0"/>
    <d v="2023-11-05T00:00:00"/>
    <d v="2024-05-13T00:00:00"/>
    <n v="800"/>
    <n v="25"/>
    <x v="0"/>
    <s v="Hiran Shan"/>
    <n v="6.333333333333333"/>
    <x v="0"/>
    <n v="5066.6666666666661"/>
    <n v="799.99999999999989"/>
  </r>
  <r>
    <s v="M002"/>
    <s v="Parinaaz Shanker"/>
    <x v="1"/>
    <x v="0"/>
    <x v="0"/>
    <d v="2025-02-26T00:00:00"/>
    <d v="2025-03-24T00:00:00"/>
    <n v="800"/>
    <n v="20"/>
    <x v="1"/>
    <s v="Kiara Kakar"/>
    <n v="0.8666666666666667"/>
    <x v="0"/>
    <n v="693.33333333333337"/>
    <n v="800"/>
  </r>
  <r>
    <s v="M003"/>
    <s v="Aniruddh Batra"/>
    <x v="2"/>
    <x v="0"/>
    <x v="1"/>
    <d v="2023-09-22T00:00:00"/>
    <d v="2024-03-20T00:00:00"/>
    <n v="1200"/>
    <n v="18"/>
    <x v="2"/>
    <s v="Jhanvi Chaudhary"/>
    <n v="6"/>
    <x v="0"/>
    <n v="7200"/>
    <n v="1200"/>
  </r>
  <r>
    <s v="M004"/>
    <s v="Madhup Kapur"/>
    <x v="3"/>
    <x v="1"/>
    <x v="1"/>
    <d v="2024-07-06T00:00:00"/>
    <d v="2024-10-22T00:00:00"/>
    <n v="1200"/>
    <n v="16"/>
    <x v="2"/>
    <s v="Tara Swaminathan"/>
    <n v="3.6"/>
    <x v="0"/>
    <n v="4320"/>
    <n v="1200"/>
  </r>
  <r>
    <s v="M005"/>
    <s v="Rasha Kakar"/>
    <x v="4"/>
    <x v="0"/>
    <x v="2"/>
    <d v="2023-12-26T00:00:00"/>
    <d v="2024-07-28T00:00:00"/>
    <n v="2500"/>
    <n v="12"/>
    <x v="0"/>
    <s v="Madhav Singh"/>
    <n v="7.166666666666667"/>
    <x v="0"/>
    <n v="17916.666666666668"/>
    <n v="2500"/>
  </r>
  <r>
    <s v="M006"/>
    <s v="Ehsaan Batra"/>
    <x v="5"/>
    <x v="0"/>
    <x v="0"/>
    <d v="2024-01-26T00:00:00"/>
    <d v="2024-04-10T00:00:00"/>
    <n v="800"/>
    <n v="14"/>
    <x v="3"/>
    <s v="Shray Ramakrishnan"/>
    <n v="2.5"/>
    <x v="0"/>
    <n v="2000"/>
    <n v="800"/>
  </r>
  <r>
    <s v="M007"/>
    <s v="Zara Bains"/>
    <x v="6"/>
    <x v="1"/>
    <x v="0"/>
    <d v="2024-10-23T00:00:00"/>
    <d v="2025-01-20T00:00:00"/>
    <n v="800"/>
    <n v="25"/>
    <x v="1"/>
    <m/>
    <n v="2.9666666666666668"/>
    <x v="1"/>
    <n v="2373.3333333333335"/>
    <n v="800"/>
  </r>
  <r>
    <s v="M008"/>
    <s v="Uthkarsh Baral"/>
    <x v="7"/>
    <x v="0"/>
    <x v="3"/>
    <d v="2024-06-07T00:00:00"/>
    <d v="2024-09-28T00:00:00"/>
    <n v="1800"/>
    <n v="28"/>
    <x v="4"/>
    <m/>
    <n v="3.7666666666666666"/>
    <x v="1"/>
    <n v="6780"/>
    <n v="1800"/>
  </r>
  <r>
    <s v="M009"/>
    <s v="Kashvi Char"/>
    <x v="8"/>
    <x v="0"/>
    <x v="0"/>
    <d v="2024-10-04T00:00:00"/>
    <d v="2024-10-17T00:00:00"/>
    <n v="800"/>
    <n v="3"/>
    <x v="4"/>
    <s v="Nitara Comar"/>
    <n v="0.43333333333333335"/>
    <x v="0"/>
    <n v="346.66666666666669"/>
    <n v="800"/>
  </r>
  <r>
    <s v="M010"/>
    <s v="Dhanush Varma"/>
    <x v="9"/>
    <x v="0"/>
    <x v="1"/>
    <d v="2023-10-03T00:00:00"/>
    <d v="2023-12-20T00:00:00"/>
    <n v="1200"/>
    <n v="29"/>
    <x v="3"/>
    <s v="Ranbir Karan"/>
    <n v="2.6"/>
    <x v="0"/>
    <n v="3120"/>
    <n v="1200"/>
  </r>
  <r>
    <s v="M011"/>
    <s v="Ishaan Goyal"/>
    <x v="10"/>
    <x v="1"/>
    <x v="1"/>
    <d v="2024-01-06T00:00:00"/>
    <d v="2024-06-16T00:00:00"/>
    <n v="1200"/>
    <n v="13"/>
    <x v="0"/>
    <s v="Rati Sanghvi"/>
    <n v="5.4"/>
    <x v="0"/>
    <n v="6480"/>
    <n v="1200"/>
  </r>
  <r>
    <s v="M012"/>
    <s v="Mahika Ravi"/>
    <x v="11"/>
    <x v="0"/>
    <x v="1"/>
    <d v="2023-08-16T00:00:00"/>
    <d v="2024-10-03T00:00:00"/>
    <n v="1200"/>
    <n v="19"/>
    <x v="4"/>
    <s v="Ishaan Kashyap"/>
    <n v="13.8"/>
    <x v="0"/>
    <n v="16560"/>
    <n v="1200"/>
  </r>
  <r>
    <s v="M013"/>
    <s v="Purab Reddy"/>
    <x v="10"/>
    <x v="1"/>
    <x v="3"/>
    <d v="2024-09-21T00:00:00"/>
    <d v="2024-12-15T00:00:00"/>
    <n v="1800"/>
    <n v="22"/>
    <x v="4"/>
    <m/>
    <n v="2.8333333333333335"/>
    <x v="1"/>
    <n v="5100"/>
    <n v="1800"/>
  </r>
  <r>
    <s v="M014"/>
    <s v="Tiya Soni"/>
    <x v="12"/>
    <x v="0"/>
    <x v="1"/>
    <d v="2023-05-19T00:00:00"/>
    <d v="2023-11-12T00:00:00"/>
    <n v="1200"/>
    <n v="28"/>
    <x v="3"/>
    <m/>
    <n v="5.9"/>
    <x v="1"/>
    <n v="7080"/>
    <n v="1200"/>
  </r>
  <r>
    <s v="M015"/>
    <s v="Zara Dugar"/>
    <x v="13"/>
    <x v="1"/>
    <x v="0"/>
    <d v="2024-02-11T00:00:00"/>
    <d v="2024-09-05T00:00:00"/>
    <n v="800"/>
    <n v="8"/>
    <x v="2"/>
    <m/>
    <n v="6.9"/>
    <x v="1"/>
    <n v="5520"/>
    <n v="800"/>
  </r>
  <r>
    <s v="M016"/>
    <s v="Lakshit Mander"/>
    <x v="12"/>
    <x v="0"/>
    <x v="2"/>
    <d v="2025-02-14T00:00:00"/>
    <d v="2025-03-16T00:00:00"/>
    <n v="2500"/>
    <n v="14"/>
    <x v="4"/>
    <m/>
    <n v="1"/>
    <x v="1"/>
    <n v="2500"/>
    <n v="2500"/>
  </r>
  <r>
    <s v="M017"/>
    <s v="Neysa Krish"/>
    <x v="14"/>
    <x v="0"/>
    <x v="1"/>
    <d v="2024-02-07T00:00:00"/>
    <d v="2025-01-28T00:00:00"/>
    <n v="1200"/>
    <n v="25"/>
    <x v="2"/>
    <m/>
    <n v="11.866666666666667"/>
    <x v="1"/>
    <n v="14240"/>
    <n v="1200"/>
  </r>
  <r>
    <s v="M018"/>
    <s v="Prerak Boase"/>
    <x v="15"/>
    <x v="1"/>
    <x v="2"/>
    <d v="2023-10-14T00:00:00"/>
    <d v="2024-12-23T00:00:00"/>
    <n v="2500"/>
    <n v="13"/>
    <x v="5"/>
    <m/>
    <n v="14.533333333333333"/>
    <x v="1"/>
    <n v="36333.333333333336"/>
    <n v="2500"/>
  </r>
  <r>
    <s v="M019"/>
    <s v="Siya Master"/>
    <x v="1"/>
    <x v="1"/>
    <x v="0"/>
    <d v="2024-03-03T00:00:00"/>
    <d v="2025-01-07T00:00:00"/>
    <n v="800"/>
    <n v="26"/>
    <x v="3"/>
    <m/>
    <n v="10.333333333333334"/>
    <x v="1"/>
    <n v="8266.6666666666679"/>
    <n v="800.00000000000011"/>
  </r>
  <r>
    <s v="M020"/>
    <s v="Madhup Biswas"/>
    <x v="16"/>
    <x v="0"/>
    <x v="2"/>
    <d v="2024-05-05T00:00:00"/>
    <d v="2024-11-12T00:00:00"/>
    <n v="2500"/>
    <n v="21"/>
    <x v="3"/>
    <s v="Tanya Bajwa"/>
    <n v="6.3666666666666663"/>
    <x v="0"/>
    <n v="15916.666666666666"/>
    <n v="2500"/>
  </r>
  <r>
    <s v="M021"/>
    <s v="Indrans Ratti"/>
    <x v="17"/>
    <x v="1"/>
    <x v="3"/>
    <d v="2023-08-08T00:00:00"/>
    <d v="2025-01-17T00:00:00"/>
    <n v="1800"/>
    <n v="19"/>
    <x v="3"/>
    <m/>
    <n v="17.600000000000001"/>
    <x v="1"/>
    <n v="31680.000000000004"/>
    <n v="1800"/>
  </r>
  <r>
    <s v="M022"/>
    <s v="Kimaya Balay"/>
    <x v="18"/>
    <x v="1"/>
    <x v="3"/>
    <d v="2024-01-29T00:00:00"/>
    <d v="2024-11-20T00:00:00"/>
    <n v="1800"/>
    <n v="5"/>
    <x v="0"/>
    <m/>
    <n v="9.8666666666666671"/>
    <x v="1"/>
    <n v="17760"/>
    <n v="1800"/>
  </r>
  <r>
    <s v="M023"/>
    <s v="Eva Dass"/>
    <x v="10"/>
    <x v="0"/>
    <x v="3"/>
    <d v="2024-06-08T00:00:00"/>
    <d v="2024-06-12T00:00:00"/>
    <n v="1800"/>
    <n v="18"/>
    <x v="5"/>
    <m/>
    <n v="0.13333333333333333"/>
    <x v="1"/>
    <n v="240"/>
    <n v="1800"/>
  </r>
  <r>
    <s v="M024"/>
    <s v="Pihu Wali"/>
    <x v="19"/>
    <x v="1"/>
    <x v="1"/>
    <d v="2024-05-27T00:00:00"/>
    <d v="2025-03-14T00:00:00"/>
    <n v="1200"/>
    <n v="6"/>
    <x v="0"/>
    <m/>
    <n v="9.6999999999999993"/>
    <x v="1"/>
    <n v="11640"/>
    <n v="1200"/>
  </r>
  <r>
    <s v="M025"/>
    <s v="Tiya Rege"/>
    <x v="20"/>
    <x v="0"/>
    <x v="3"/>
    <d v="2023-12-26T00:00:00"/>
    <d v="2024-03-21T00:00:00"/>
    <n v="1800"/>
    <n v="17"/>
    <x v="3"/>
    <s v="Adira Brar"/>
    <n v="2.8666666666666667"/>
    <x v="0"/>
    <n v="5160"/>
    <n v="1800"/>
  </r>
  <r>
    <s v="M026"/>
    <s v="Aarav Sen"/>
    <x v="8"/>
    <x v="1"/>
    <x v="1"/>
    <d v="2025-02-14T00:00:00"/>
    <d v="2025-03-11T00:00:00"/>
    <n v="1200"/>
    <n v="3"/>
    <x v="5"/>
    <m/>
    <n v="0.83333333333333337"/>
    <x v="1"/>
    <n v="1000"/>
    <n v="1200"/>
  </r>
  <r>
    <s v="M027"/>
    <s v="Dishani Bera"/>
    <x v="2"/>
    <x v="0"/>
    <x v="2"/>
    <d v="2025-02-10T00:00:00"/>
    <d v="2025-03-10T00:00:00"/>
    <n v="2500"/>
    <n v="28"/>
    <x v="3"/>
    <m/>
    <n v="0.93333333333333335"/>
    <x v="1"/>
    <n v="2333.3333333333335"/>
    <n v="2500"/>
  </r>
  <r>
    <s v="M028"/>
    <s v="Indrans Grover"/>
    <x v="20"/>
    <x v="0"/>
    <x v="1"/>
    <d v="2024-11-18T00:00:00"/>
    <d v="2024-12-19T00:00:00"/>
    <n v="1200"/>
    <n v="23"/>
    <x v="1"/>
    <m/>
    <n v="1.0333333333333334"/>
    <x v="1"/>
    <n v="1240.0000000000002"/>
    <n v="1200"/>
  </r>
  <r>
    <s v="M029"/>
    <s v="Kismat Edwin"/>
    <x v="21"/>
    <x v="1"/>
    <x v="2"/>
    <d v="2024-04-19T00:00:00"/>
    <d v="2024-04-26T00:00:00"/>
    <n v="2500"/>
    <n v="8"/>
    <x v="2"/>
    <m/>
    <n v="0.23333333333333334"/>
    <x v="1"/>
    <n v="583.33333333333337"/>
    <n v="2500"/>
  </r>
  <r>
    <s v="M030"/>
    <s v="Taran Vyas"/>
    <x v="3"/>
    <x v="1"/>
    <x v="2"/>
    <d v="2025-01-10T00:00:00"/>
    <d v="2025-03-29T00:00:00"/>
    <n v="2500"/>
    <n v="23"/>
    <x v="4"/>
    <s v="Nakul Balakrishnan"/>
    <n v="2.6"/>
    <x v="0"/>
    <n v="6500"/>
    <n v="2500"/>
  </r>
  <r>
    <s v="M031"/>
    <s v="Jiya Baral"/>
    <x v="22"/>
    <x v="1"/>
    <x v="0"/>
    <d v="2023-06-11T00:00:00"/>
    <d v="2024-12-30T00:00:00"/>
    <n v="800"/>
    <n v="9"/>
    <x v="5"/>
    <s v="Darshit Sidhu"/>
    <n v="18.933333333333334"/>
    <x v="0"/>
    <n v="15146.666666666666"/>
    <n v="800"/>
  </r>
  <r>
    <s v="M032"/>
    <s v="Gokul Sahni"/>
    <x v="23"/>
    <x v="0"/>
    <x v="1"/>
    <d v="2024-04-09T00:00:00"/>
    <d v="2024-11-08T00:00:00"/>
    <n v="1200"/>
    <n v="2"/>
    <x v="3"/>
    <m/>
    <n v="7.1"/>
    <x v="1"/>
    <n v="8520"/>
    <n v="1200"/>
  </r>
  <r>
    <s v="M033"/>
    <s v="Prerak Lalla"/>
    <x v="24"/>
    <x v="0"/>
    <x v="0"/>
    <d v="2025-02-11T00:00:00"/>
    <d v="2025-03-24T00:00:00"/>
    <n v="800"/>
    <n v="30"/>
    <x v="3"/>
    <m/>
    <n v="1.3666666666666667"/>
    <x v="1"/>
    <n v="1093.3333333333333"/>
    <n v="799.99999999999989"/>
  </r>
  <r>
    <s v="M034"/>
    <s v="Hrishita Shroff"/>
    <x v="25"/>
    <x v="0"/>
    <x v="3"/>
    <d v="2024-10-23T00:00:00"/>
    <d v="2025-03-05T00:00:00"/>
    <n v="1800"/>
    <n v="23"/>
    <x v="1"/>
    <s v="Riya Dugal"/>
    <n v="4.4333333333333336"/>
    <x v="0"/>
    <n v="7980"/>
    <n v="1800"/>
  </r>
  <r>
    <s v="M035"/>
    <s v="Oorja Sachar"/>
    <x v="1"/>
    <x v="1"/>
    <x v="1"/>
    <d v="2024-01-21T00:00:00"/>
    <d v="2024-12-26T00:00:00"/>
    <n v="1200"/>
    <n v="27"/>
    <x v="1"/>
    <m/>
    <n v="11.333333333333334"/>
    <x v="1"/>
    <n v="13600"/>
    <n v="12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6.333333333333333"/>
    <x v="0"/>
    <n v="5066.6666666666661"/>
  </r>
  <r>
    <s v="M002"/>
    <s v="Parinaaz Shanker"/>
    <n v="27"/>
    <s v="Male"/>
    <x v="0"/>
    <d v="2025-02-26T00:00:00"/>
    <d v="2025-03-24T00:00:00"/>
    <n v="800"/>
    <n v="20"/>
    <x v="1"/>
    <s v="Kiara Kakar"/>
    <n v="0.8666666666666667"/>
    <x v="0"/>
    <n v="693.33333333333337"/>
  </r>
  <r>
    <s v="M003"/>
    <s v="Aniruddh Batra"/>
    <n v="24"/>
    <s v="Male"/>
    <x v="1"/>
    <d v="2023-09-22T00:00:00"/>
    <d v="2024-03-20T00:00:00"/>
    <n v="1200"/>
    <n v="18"/>
    <x v="2"/>
    <s v="Jhanvi Chaudhary"/>
    <n v="6"/>
    <x v="0"/>
    <n v="7200"/>
  </r>
  <r>
    <s v="M004"/>
    <s v="Madhup Kapur"/>
    <n v="31"/>
    <s v="Female"/>
    <x v="1"/>
    <d v="2024-07-06T00:00:00"/>
    <d v="2024-10-22T00:00:00"/>
    <n v="1200"/>
    <n v="16"/>
    <x v="2"/>
    <s v="Tara Swaminathan"/>
    <n v="3.6"/>
    <x v="0"/>
    <n v="4320"/>
  </r>
  <r>
    <s v="M005"/>
    <s v="Rasha Kakar"/>
    <n v="19"/>
    <s v="Male"/>
    <x v="2"/>
    <d v="2023-12-26T00:00:00"/>
    <d v="2024-07-28T00:00:00"/>
    <n v="2500"/>
    <n v="12"/>
    <x v="0"/>
    <s v="Madhav Singh"/>
    <n v="7.166666666666667"/>
    <x v="0"/>
    <n v="17916.666666666668"/>
  </r>
  <r>
    <s v="M006"/>
    <s v="Ehsaan Batra"/>
    <n v="40"/>
    <s v="Male"/>
    <x v="0"/>
    <d v="2024-01-26T00:00:00"/>
    <d v="2024-04-10T00:00:00"/>
    <n v="800"/>
    <n v="14"/>
    <x v="3"/>
    <s v="Shray Ramakrishnan"/>
    <n v="2.5"/>
    <x v="0"/>
    <n v="2000"/>
  </r>
  <r>
    <s v="M007"/>
    <s v="Zara Bains"/>
    <n v="41"/>
    <s v="Female"/>
    <x v="0"/>
    <d v="2024-10-23T00:00:00"/>
    <d v="2025-01-20T00:00:00"/>
    <n v="800"/>
    <n v="25"/>
    <x v="1"/>
    <m/>
    <n v="2.9666666666666668"/>
    <x v="1"/>
    <n v="2373.3333333333335"/>
  </r>
  <r>
    <s v="M008"/>
    <s v="Uthkarsh Baral"/>
    <n v="43"/>
    <s v="Male"/>
    <x v="3"/>
    <d v="2024-06-07T00:00:00"/>
    <d v="2024-09-28T00:00:00"/>
    <n v="1800"/>
    <n v="28"/>
    <x v="4"/>
    <m/>
    <n v="3.7666666666666666"/>
    <x v="1"/>
    <n v="6780"/>
  </r>
  <r>
    <s v="M009"/>
    <s v="Kashvi Char"/>
    <n v="42"/>
    <s v="Male"/>
    <x v="0"/>
    <d v="2024-10-04T00:00:00"/>
    <d v="2024-10-17T00:00:00"/>
    <n v="800"/>
    <n v="3"/>
    <x v="4"/>
    <s v="Nitara Comar"/>
    <n v="0.43333333333333335"/>
    <x v="0"/>
    <n v="346.66666666666669"/>
  </r>
  <r>
    <s v="M010"/>
    <s v="Dhanush Varma"/>
    <n v="37"/>
    <s v="Male"/>
    <x v="1"/>
    <d v="2023-10-03T00:00:00"/>
    <d v="2023-12-20T00:00:00"/>
    <n v="1200"/>
    <n v="29"/>
    <x v="3"/>
    <s v="Ranbir Karan"/>
    <n v="2.6"/>
    <x v="0"/>
    <n v="3120"/>
  </r>
  <r>
    <s v="M011"/>
    <s v="Ishaan Goyal"/>
    <n v="48"/>
    <s v="Female"/>
    <x v="1"/>
    <d v="2024-01-06T00:00:00"/>
    <d v="2024-06-16T00:00:00"/>
    <n v="1200"/>
    <n v="13"/>
    <x v="0"/>
    <s v="Rati Sanghvi"/>
    <n v="5.4"/>
    <x v="0"/>
    <n v="6480"/>
  </r>
  <r>
    <s v="M012"/>
    <s v="Mahika Ravi"/>
    <n v="36"/>
    <s v="Male"/>
    <x v="1"/>
    <d v="2023-08-16T00:00:00"/>
    <d v="2024-10-03T00:00:00"/>
    <n v="1200"/>
    <n v="19"/>
    <x v="4"/>
    <s v="Ishaan Kashyap"/>
    <n v="13.8"/>
    <x v="0"/>
    <n v="16560"/>
  </r>
  <r>
    <s v="M013"/>
    <s v="Purab Reddy"/>
    <n v="48"/>
    <s v="Female"/>
    <x v="3"/>
    <d v="2024-09-21T00:00:00"/>
    <d v="2024-12-15T00:00:00"/>
    <n v="1800"/>
    <n v="22"/>
    <x v="4"/>
    <m/>
    <n v="2.8333333333333335"/>
    <x v="1"/>
    <n v="5100"/>
  </r>
  <r>
    <s v="M014"/>
    <s v="Tiya Soni"/>
    <n v="39"/>
    <s v="Male"/>
    <x v="1"/>
    <d v="2023-05-19T00:00:00"/>
    <d v="2023-11-12T00:00:00"/>
    <n v="1200"/>
    <n v="28"/>
    <x v="3"/>
    <m/>
    <n v="5.9"/>
    <x v="1"/>
    <n v="7080"/>
  </r>
  <r>
    <s v="M015"/>
    <s v="Zara Dugar"/>
    <n v="44"/>
    <s v="Female"/>
    <x v="0"/>
    <d v="2024-02-11T00:00:00"/>
    <d v="2024-09-05T00:00:00"/>
    <n v="800"/>
    <n v="8"/>
    <x v="2"/>
    <m/>
    <n v="6.9"/>
    <x v="1"/>
    <n v="5520"/>
  </r>
  <r>
    <s v="M016"/>
    <s v="Lakshit Mander"/>
    <n v="39"/>
    <s v="Male"/>
    <x v="2"/>
    <d v="2025-02-14T00:00:00"/>
    <d v="2025-03-16T00:00:00"/>
    <n v="2500"/>
    <n v="14"/>
    <x v="4"/>
    <m/>
    <n v="1"/>
    <x v="1"/>
    <n v="2500"/>
  </r>
  <r>
    <s v="M017"/>
    <s v="Neysa Krish"/>
    <n v="35"/>
    <s v="Male"/>
    <x v="1"/>
    <d v="2024-02-07T00:00:00"/>
    <d v="2025-01-28T00:00:00"/>
    <n v="1200"/>
    <n v="25"/>
    <x v="2"/>
    <m/>
    <n v="11.866666666666667"/>
    <x v="1"/>
    <n v="14240"/>
  </r>
  <r>
    <s v="M018"/>
    <s v="Prerak Boase"/>
    <n v="56"/>
    <s v="Female"/>
    <x v="2"/>
    <d v="2023-10-14T00:00:00"/>
    <d v="2024-12-23T00:00:00"/>
    <n v="2500"/>
    <n v="13"/>
    <x v="5"/>
    <m/>
    <n v="14.533333333333333"/>
    <x v="1"/>
    <n v="36333.333333333336"/>
  </r>
  <r>
    <s v="M019"/>
    <s v="Siya Master"/>
    <n v="27"/>
    <s v="Female"/>
    <x v="0"/>
    <d v="2024-03-03T00:00:00"/>
    <d v="2025-01-07T00:00:00"/>
    <n v="800"/>
    <n v="26"/>
    <x v="3"/>
    <m/>
    <n v="10.333333333333334"/>
    <x v="1"/>
    <n v="8266.6666666666679"/>
  </r>
  <r>
    <s v="M020"/>
    <s v="Madhup Biswas"/>
    <n v="28"/>
    <s v="Male"/>
    <x v="2"/>
    <d v="2024-05-05T00:00:00"/>
    <d v="2024-11-12T00:00:00"/>
    <n v="2500"/>
    <n v="21"/>
    <x v="3"/>
    <s v="Tanya Bajwa"/>
    <n v="6.3666666666666663"/>
    <x v="0"/>
    <n v="15916.666666666666"/>
  </r>
  <r>
    <s v="M021"/>
    <s v="Indrans Ratti"/>
    <n v="57"/>
    <s v="Female"/>
    <x v="3"/>
    <d v="2023-08-08T00:00:00"/>
    <d v="2025-01-17T00:00:00"/>
    <n v="1800"/>
    <n v="19"/>
    <x v="3"/>
    <m/>
    <n v="17.600000000000001"/>
    <x v="1"/>
    <n v="31680.000000000004"/>
  </r>
  <r>
    <s v="M022"/>
    <s v="Kimaya Balay"/>
    <n v="26"/>
    <s v="Female"/>
    <x v="3"/>
    <d v="2024-01-29T00:00:00"/>
    <d v="2024-11-20T00:00:00"/>
    <n v="1800"/>
    <n v="5"/>
    <x v="0"/>
    <m/>
    <n v="9.8666666666666671"/>
    <x v="1"/>
    <n v="17760"/>
  </r>
  <r>
    <s v="M023"/>
    <s v="Eva Dass"/>
    <n v="48"/>
    <s v="Male"/>
    <x v="3"/>
    <d v="2024-06-08T00:00:00"/>
    <d v="2024-06-12T00:00:00"/>
    <n v="1800"/>
    <n v="18"/>
    <x v="5"/>
    <m/>
    <n v="0.13333333333333333"/>
    <x v="1"/>
    <n v="240"/>
  </r>
  <r>
    <s v="M024"/>
    <s v="Pihu Wali"/>
    <n v="25"/>
    <s v="Female"/>
    <x v="1"/>
    <d v="2024-05-27T00:00:00"/>
    <d v="2025-03-14T00:00:00"/>
    <n v="1200"/>
    <n v="6"/>
    <x v="0"/>
    <m/>
    <n v="9.6999999999999993"/>
    <x v="1"/>
    <n v="11640"/>
  </r>
  <r>
    <s v="M025"/>
    <s v="Tiya Rege"/>
    <n v="53"/>
    <s v="Male"/>
    <x v="3"/>
    <d v="2023-12-26T00:00:00"/>
    <d v="2024-03-21T00:00:00"/>
    <n v="1800"/>
    <n v="17"/>
    <x v="3"/>
    <s v="Adira Brar"/>
    <n v="2.8666666666666667"/>
    <x v="0"/>
    <n v="5160"/>
  </r>
  <r>
    <s v="M026"/>
    <s v="Aarav Sen"/>
    <n v="42"/>
    <s v="Female"/>
    <x v="1"/>
    <d v="2025-02-14T00:00:00"/>
    <d v="2025-03-11T00:00:00"/>
    <n v="1200"/>
    <n v="3"/>
    <x v="5"/>
    <m/>
    <n v="0.83333333333333337"/>
    <x v="1"/>
    <n v="1000"/>
  </r>
  <r>
    <s v="M027"/>
    <s v="Dishani Bera"/>
    <n v="24"/>
    <s v="Male"/>
    <x v="2"/>
    <d v="2025-02-10T00:00:00"/>
    <d v="2025-03-10T00:00:00"/>
    <n v="2500"/>
    <n v="28"/>
    <x v="3"/>
    <m/>
    <n v="0.93333333333333335"/>
    <x v="1"/>
    <n v="2333.3333333333335"/>
  </r>
  <r>
    <s v="M028"/>
    <s v="Indrans Grover"/>
    <n v="53"/>
    <s v="Male"/>
    <x v="1"/>
    <d v="2024-11-18T00:00:00"/>
    <d v="2024-12-19T00:00:00"/>
    <n v="1200"/>
    <n v="23"/>
    <x v="1"/>
    <m/>
    <n v="1.0333333333333334"/>
    <x v="1"/>
    <n v="1240.0000000000002"/>
  </r>
  <r>
    <s v="M029"/>
    <s v="Kismat Edwin"/>
    <n v="29"/>
    <s v="Female"/>
    <x v="2"/>
    <d v="2024-04-19T00:00:00"/>
    <d v="2024-04-26T00:00:00"/>
    <n v="2500"/>
    <n v="8"/>
    <x v="2"/>
    <m/>
    <n v="0.23333333333333334"/>
    <x v="1"/>
    <n v="583.33333333333337"/>
  </r>
  <r>
    <s v="M030"/>
    <s v="Taran Vyas"/>
    <n v="31"/>
    <s v="Female"/>
    <x v="2"/>
    <d v="2025-01-10T00:00:00"/>
    <d v="2025-03-29T00:00:00"/>
    <n v="2500"/>
    <n v="23"/>
    <x v="4"/>
    <s v="Nakul Balakrishnan"/>
    <n v="2.6"/>
    <x v="0"/>
    <n v="6500"/>
  </r>
  <r>
    <s v="M031"/>
    <s v="Jiya Baral"/>
    <n v="52"/>
    <s v="Female"/>
    <x v="0"/>
    <d v="2023-06-11T00:00:00"/>
    <d v="2024-12-30T00:00:00"/>
    <n v="800"/>
    <n v="9"/>
    <x v="5"/>
    <s v="Darshit Sidhu"/>
    <n v="18.933333333333334"/>
    <x v="0"/>
    <n v="15146.666666666666"/>
  </r>
  <r>
    <s v="M032"/>
    <s v="Gokul Sahni"/>
    <n v="20"/>
    <s v="Male"/>
    <x v="1"/>
    <d v="2024-04-09T00:00:00"/>
    <d v="2024-11-08T00:00:00"/>
    <n v="1200"/>
    <n v="2"/>
    <x v="3"/>
    <m/>
    <n v="7.1"/>
    <x v="1"/>
    <n v="8520"/>
  </r>
  <r>
    <s v="M033"/>
    <s v="Prerak Lalla"/>
    <n v="22"/>
    <s v="Male"/>
    <x v="0"/>
    <d v="2025-02-11T00:00:00"/>
    <d v="2025-03-24T00:00:00"/>
    <n v="800"/>
    <n v="30"/>
    <x v="3"/>
    <m/>
    <n v="1.3666666666666667"/>
    <x v="1"/>
    <n v="1093.3333333333333"/>
  </r>
  <r>
    <s v="M034"/>
    <s v="Hrishita Shroff"/>
    <n v="23"/>
    <s v="Male"/>
    <x v="3"/>
    <d v="2024-10-23T00:00:00"/>
    <d v="2025-03-05T00:00:00"/>
    <n v="1800"/>
    <n v="23"/>
    <x v="1"/>
    <s v="Riya Dugal"/>
    <n v="4.4333333333333336"/>
    <x v="0"/>
    <n v="7980"/>
  </r>
  <r>
    <s v="M035"/>
    <s v="Oorja Sachar"/>
    <n v="27"/>
    <s v="Female"/>
    <x v="1"/>
    <d v="2024-01-21T00:00:00"/>
    <d v="2024-12-26T00:00:00"/>
    <n v="1200"/>
    <n v="27"/>
    <x v="1"/>
    <m/>
    <n v="11.333333333333334"/>
    <x v="1"/>
    <n v="136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x v="0"/>
    <x v="0"/>
    <x v="0"/>
    <d v="2023-11-05T00:00:00"/>
    <d v="2024-05-13T00:00:00"/>
    <n v="800"/>
    <n v="25"/>
    <x v="0"/>
    <s v="Hiran Shan"/>
    <n v="6.333333333333333"/>
    <s v="Yes"/>
    <n v="5066.6666666666661"/>
    <x v="0"/>
  </r>
  <r>
    <s v="M002"/>
    <s v="Parinaaz Shanker"/>
    <x v="1"/>
    <x v="0"/>
    <x v="0"/>
    <d v="2025-02-26T00:00:00"/>
    <d v="2025-03-24T00:00:00"/>
    <n v="800"/>
    <n v="20"/>
    <x v="1"/>
    <s v="Kiara Kakar"/>
    <n v="0.8666666666666667"/>
    <s v="Yes"/>
    <n v="693.33333333333337"/>
    <x v="1"/>
  </r>
  <r>
    <s v="M003"/>
    <s v="Aniruddh Batra"/>
    <x v="2"/>
    <x v="0"/>
    <x v="1"/>
    <d v="2023-09-22T00:00:00"/>
    <d v="2024-03-20T00:00:00"/>
    <n v="1200"/>
    <n v="18"/>
    <x v="2"/>
    <s v="Jhanvi Chaudhary"/>
    <n v="6"/>
    <s v="Yes"/>
    <n v="7200"/>
    <x v="1"/>
  </r>
  <r>
    <s v="M004"/>
    <s v="Madhup Kapur"/>
    <x v="3"/>
    <x v="1"/>
    <x v="1"/>
    <d v="2024-07-06T00:00:00"/>
    <d v="2024-10-22T00:00:00"/>
    <n v="1200"/>
    <n v="16"/>
    <x v="2"/>
    <s v="Tara Swaminathan"/>
    <n v="3.6"/>
    <s v="Yes"/>
    <n v="4320"/>
    <x v="2"/>
  </r>
  <r>
    <s v="M005"/>
    <s v="Rasha Kakar"/>
    <x v="4"/>
    <x v="0"/>
    <x v="2"/>
    <d v="2023-12-26T00:00:00"/>
    <d v="2024-07-28T00:00:00"/>
    <n v="2500"/>
    <n v="12"/>
    <x v="0"/>
    <s v="Madhav Singh"/>
    <n v="7.166666666666667"/>
    <s v="Yes"/>
    <n v="17916.666666666668"/>
    <x v="1"/>
  </r>
  <r>
    <s v="M006"/>
    <s v="Ehsaan Batra"/>
    <x v="5"/>
    <x v="0"/>
    <x v="0"/>
    <d v="2024-01-26T00:00:00"/>
    <d v="2024-04-10T00:00:00"/>
    <n v="800"/>
    <n v="14"/>
    <x v="3"/>
    <s v="Shray Ramakrishnan"/>
    <n v="2.5"/>
    <s v="Yes"/>
    <n v="2000"/>
    <x v="2"/>
  </r>
  <r>
    <s v="M007"/>
    <s v="Zara Bains"/>
    <x v="6"/>
    <x v="1"/>
    <x v="0"/>
    <d v="2024-10-23T00:00:00"/>
    <d v="2025-01-20T00:00:00"/>
    <n v="800"/>
    <n v="25"/>
    <x v="1"/>
    <m/>
    <n v="2.9666666666666668"/>
    <s v="No"/>
    <n v="2373.3333333333335"/>
    <x v="2"/>
  </r>
  <r>
    <s v="M008"/>
    <s v="Uthkarsh Baral"/>
    <x v="7"/>
    <x v="0"/>
    <x v="3"/>
    <d v="2024-06-07T00:00:00"/>
    <d v="2024-09-28T00:00:00"/>
    <n v="1800"/>
    <n v="28"/>
    <x v="4"/>
    <m/>
    <n v="3.7666666666666666"/>
    <s v="No"/>
    <n v="6780"/>
    <x v="2"/>
  </r>
  <r>
    <s v="M009"/>
    <s v="Kashvi Char"/>
    <x v="8"/>
    <x v="0"/>
    <x v="0"/>
    <d v="2024-10-04T00:00:00"/>
    <d v="2024-10-17T00:00:00"/>
    <n v="800"/>
    <n v="3"/>
    <x v="4"/>
    <s v="Nitara Comar"/>
    <n v="0.43333333333333335"/>
    <s v="Yes"/>
    <n v="346.66666666666669"/>
    <x v="2"/>
  </r>
  <r>
    <s v="M010"/>
    <s v="Dhanush Varma"/>
    <x v="9"/>
    <x v="0"/>
    <x v="1"/>
    <d v="2023-10-03T00:00:00"/>
    <d v="2023-12-20T00:00:00"/>
    <n v="1200"/>
    <n v="29"/>
    <x v="3"/>
    <s v="Ranbir Karan"/>
    <n v="2.6"/>
    <s v="Yes"/>
    <n v="3120"/>
    <x v="2"/>
  </r>
  <r>
    <s v="M011"/>
    <s v="Ishaan Goyal"/>
    <x v="10"/>
    <x v="1"/>
    <x v="1"/>
    <d v="2024-01-06T00:00:00"/>
    <d v="2024-06-16T00:00:00"/>
    <n v="1200"/>
    <n v="13"/>
    <x v="0"/>
    <s v="Rati Sanghvi"/>
    <n v="5.4"/>
    <s v="Yes"/>
    <n v="6480"/>
    <x v="0"/>
  </r>
  <r>
    <s v="M012"/>
    <s v="Mahika Ravi"/>
    <x v="11"/>
    <x v="0"/>
    <x v="1"/>
    <d v="2023-08-16T00:00:00"/>
    <d v="2024-10-03T00:00:00"/>
    <n v="1200"/>
    <n v="19"/>
    <x v="4"/>
    <s v="Ishaan Kashyap"/>
    <n v="13.8"/>
    <s v="Yes"/>
    <n v="16560"/>
    <x v="2"/>
  </r>
  <r>
    <s v="M013"/>
    <s v="Purab Reddy"/>
    <x v="10"/>
    <x v="1"/>
    <x v="3"/>
    <d v="2024-09-21T00:00:00"/>
    <d v="2024-12-15T00:00:00"/>
    <n v="1800"/>
    <n v="22"/>
    <x v="4"/>
    <m/>
    <n v="2.8333333333333335"/>
    <s v="No"/>
    <n v="5100"/>
    <x v="0"/>
  </r>
  <r>
    <s v="M014"/>
    <s v="Tiya Soni"/>
    <x v="12"/>
    <x v="0"/>
    <x v="1"/>
    <d v="2023-05-19T00:00:00"/>
    <d v="2023-11-12T00:00:00"/>
    <n v="1200"/>
    <n v="28"/>
    <x v="3"/>
    <m/>
    <n v="5.9"/>
    <s v="No"/>
    <n v="7080"/>
    <x v="2"/>
  </r>
  <r>
    <s v="M015"/>
    <s v="Zara Dugar"/>
    <x v="13"/>
    <x v="1"/>
    <x v="0"/>
    <d v="2024-02-11T00:00:00"/>
    <d v="2024-09-05T00:00:00"/>
    <n v="800"/>
    <n v="8"/>
    <x v="2"/>
    <m/>
    <n v="6.9"/>
    <s v="No"/>
    <n v="5520"/>
    <x v="2"/>
  </r>
  <r>
    <s v="M016"/>
    <s v="Lakshit Mander"/>
    <x v="12"/>
    <x v="0"/>
    <x v="2"/>
    <d v="2025-02-14T00:00:00"/>
    <d v="2025-03-16T00:00:00"/>
    <n v="2500"/>
    <n v="14"/>
    <x v="4"/>
    <m/>
    <n v="1"/>
    <s v="No"/>
    <n v="2500"/>
    <x v="2"/>
  </r>
  <r>
    <s v="M017"/>
    <s v="Neysa Krish"/>
    <x v="14"/>
    <x v="0"/>
    <x v="1"/>
    <d v="2024-02-07T00:00:00"/>
    <d v="2025-01-28T00:00:00"/>
    <n v="1200"/>
    <n v="25"/>
    <x v="2"/>
    <m/>
    <n v="11.866666666666667"/>
    <s v="No"/>
    <n v="14240"/>
    <x v="2"/>
  </r>
  <r>
    <s v="M018"/>
    <s v="Prerak Boase"/>
    <x v="15"/>
    <x v="1"/>
    <x v="2"/>
    <d v="2023-10-14T00:00:00"/>
    <d v="2024-12-23T00:00:00"/>
    <n v="2500"/>
    <n v="13"/>
    <x v="5"/>
    <m/>
    <n v="14.533333333333333"/>
    <s v="No"/>
    <n v="36333.333333333336"/>
    <x v="0"/>
  </r>
  <r>
    <s v="M019"/>
    <s v="Siya Master"/>
    <x v="1"/>
    <x v="1"/>
    <x v="0"/>
    <d v="2024-03-03T00:00:00"/>
    <d v="2025-01-07T00:00:00"/>
    <n v="800"/>
    <n v="26"/>
    <x v="3"/>
    <m/>
    <n v="10.333333333333334"/>
    <s v="No"/>
    <n v="8266.6666666666679"/>
    <x v="1"/>
  </r>
  <r>
    <s v="M020"/>
    <s v="Madhup Biswas"/>
    <x v="16"/>
    <x v="0"/>
    <x v="2"/>
    <d v="2024-05-05T00:00:00"/>
    <d v="2024-11-12T00:00:00"/>
    <n v="2500"/>
    <n v="21"/>
    <x v="3"/>
    <s v="Tanya Bajwa"/>
    <n v="6.3666666666666663"/>
    <s v="Yes"/>
    <n v="15916.666666666666"/>
    <x v="1"/>
  </r>
  <r>
    <s v="M021"/>
    <s v="Indrans Ratti"/>
    <x v="17"/>
    <x v="1"/>
    <x v="3"/>
    <d v="2023-08-08T00:00:00"/>
    <d v="2025-01-17T00:00:00"/>
    <n v="1800"/>
    <n v="19"/>
    <x v="3"/>
    <m/>
    <n v="17.600000000000001"/>
    <s v="No"/>
    <n v="31680.000000000004"/>
    <x v="0"/>
  </r>
  <r>
    <s v="M022"/>
    <s v="Kimaya Balay"/>
    <x v="18"/>
    <x v="1"/>
    <x v="3"/>
    <d v="2024-01-29T00:00:00"/>
    <d v="2024-11-20T00:00:00"/>
    <n v="1800"/>
    <n v="5"/>
    <x v="0"/>
    <m/>
    <n v="9.8666666666666671"/>
    <s v="No"/>
    <n v="17760"/>
    <x v="1"/>
  </r>
  <r>
    <s v="M023"/>
    <s v="Eva Dass"/>
    <x v="10"/>
    <x v="0"/>
    <x v="3"/>
    <d v="2024-06-08T00:00:00"/>
    <d v="2024-06-12T00:00:00"/>
    <n v="1800"/>
    <n v="18"/>
    <x v="5"/>
    <m/>
    <n v="0.13333333333333333"/>
    <s v="No"/>
    <n v="240"/>
    <x v="0"/>
  </r>
  <r>
    <s v="M024"/>
    <s v="Pihu Wali"/>
    <x v="19"/>
    <x v="1"/>
    <x v="1"/>
    <d v="2024-05-27T00:00:00"/>
    <d v="2025-03-14T00:00:00"/>
    <n v="1200"/>
    <n v="6"/>
    <x v="0"/>
    <m/>
    <n v="9.6999999999999993"/>
    <s v="No"/>
    <n v="11640"/>
    <x v="1"/>
  </r>
  <r>
    <s v="M025"/>
    <s v="Tiya Rege"/>
    <x v="20"/>
    <x v="0"/>
    <x v="3"/>
    <d v="2023-12-26T00:00:00"/>
    <d v="2024-03-21T00:00:00"/>
    <n v="1800"/>
    <n v="17"/>
    <x v="3"/>
    <s v="Adira Brar"/>
    <n v="2.8666666666666667"/>
    <s v="Yes"/>
    <n v="5160"/>
    <x v="0"/>
  </r>
  <r>
    <s v="M026"/>
    <s v="Aarav Sen"/>
    <x v="8"/>
    <x v="1"/>
    <x v="1"/>
    <d v="2025-02-14T00:00:00"/>
    <d v="2025-03-11T00:00:00"/>
    <n v="1200"/>
    <n v="3"/>
    <x v="5"/>
    <m/>
    <n v="0.83333333333333337"/>
    <s v="No"/>
    <n v="1000"/>
    <x v="2"/>
  </r>
  <r>
    <s v="M027"/>
    <s v="Dishani Bera"/>
    <x v="2"/>
    <x v="0"/>
    <x v="2"/>
    <d v="2025-02-10T00:00:00"/>
    <d v="2025-03-10T00:00:00"/>
    <n v="2500"/>
    <n v="28"/>
    <x v="3"/>
    <m/>
    <n v="0.93333333333333335"/>
    <s v="No"/>
    <n v="2333.3333333333335"/>
    <x v="1"/>
  </r>
  <r>
    <s v="M028"/>
    <s v="Indrans Grover"/>
    <x v="20"/>
    <x v="0"/>
    <x v="1"/>
    <d v="2024-11-18T00:00:00"/>
    <d v="2024-12-19T00:00:00"/>
    <n v="1200"/>
    <n v="23"/>
    <x v="1"/>
    <m/>
    <n v="1.0333333333333334"/>
    <s v="No"/>
    <n v="1240.0000000000002"/>
    <x v="0"/>
  </r>
  <r>
    <s v="M029"/>
    <s v="Kismat Edwin"/>
    <x v="21"/>
    <x v="1"/>
    <x v="2"/>
    <d v="2024-04-19T00:00:00"/>
    <d v="2024-04-26T00:00:00"/>
    <n v="2500"/>
    <n v="8"/>
    <x v="2"/>
    <m/>
    <n v="0.23333333333333334"/>
    <s v="No"/>
    <n v="583.33333333333337"/>
    <x v="1"/>
  </r>
  <r>
    <s v="M030"/>
    <s v="Taran Vyas"/>
    <x v="3"/>
    <x v="1"/>
    <x v="2"/>
    <d v="2025-01-10T00:00:00"/>
    <d v="2025-03-29T00:00:00"/>
    <n v="2500"/>
    <n v="23"/>
    <x v="4"/>
    <s v="Nakul Balakrishnan"/>
    <n v="2.6"/>
    <s v="Yes"/>
    <n v="6500"/>
    <x v="2"/>
  </r>
  <r>
    <s v="M031"/>
    <s v="Jiya Baral"/>
    <x v="22"/>
    <x v="1"/>
    <x v="0"/>
    <d v="2023-06-11T00:00:00"/>
    <d v="2024-12-30T00:00:00"/>
    <n v="800"/>
    <n v="9"/>
    <x v="5"/>
    <s v="Darshit Sidhu"/>
    <n v="18.933333333333334"/>
    <s v="Yes"/>
    <n v="15146.666666666666"/>
    <x v="0"/>
  </r>
  <r>
    <s v="M032"/>
    <s v="Gokul Sahni"/>
    <x v="23"/>
    <x v="0"/>
    <x v="1"/>
    <d v="2024-04-09T00:00:00"/>
    <d v="2024-11-08T00:00:00"/>
    <n v="1200"/>
    <n v="2"/>
    <x v="3"/>
    <m/>
    <n v="7.1"/>
    <s v="No"/>
    <n v="8520"/>
    <x v="1"/>
  </r>
  <r>
    <s v="M033"/>
    <s v="Prerak Lalla"/>
    <x v="24"/>
    <x v="0"/>
    <x v="0"/>
    <d v="2025-02-11T00:00:00"/>
    <d v="2025-03-24T00:00:00"/>
    <n v="800"/>
    <n v="30"/>
    <x v="3"/>
    <m/>
    <n v="1.3666666666666667"/>
    <s v="No"/>
    <n v="1093.3333333333333"/>
    <x v="1"/>
  </r>
  <r>
    <s v="M034"/>
    <s v="Hrishita Shroff"/>
    <x v="25"/>
    <x v="0"/>
    <x v="3"/>
    <d v="2024-10-23T00:00:00"/>
    <d v="2025-03-05T00:00:00"/>
    <n v="1800"/>
    <n v="23"/>
    <x v="1"/>
    <s v="Riya Dugal"/>
    <n v="4.4333333333333336"/>
    <s v="Yes"/>
    <n v="7980"/>
    <x v="1"/>
  </r>
  <r>
    <s v="M035"/>
    <s v="Oorja Sachar"/>
    <x v="1"/>
    <x v="1"/>
    <x v="1"/>
    <d v="2024-01-21T00:00:00"/>
    <d v="2024-12-26T00:00:00"/>
    <n v="1200"/>
    <n v="27"/>
    <x v="1"/>
    <m/>
    <n v="11.333333333333334"/>
    <s v="No"/>
    <n v="136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F7246-7120-4AEE-9C60-E5FC9D775382}" name="PivotTable3" cacheId="7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A10:F48" firstHeaderRow="1" firstDataRow="2" firstDataCol="3"/>
  <pivotFields count="15">
    <pivotField dataField="1" compact="0" outline="0" showAll="0"/>
    <pivotField compact="0" outline="0" showAll="0"/>
    <pivotField compact="0" outline="0" showAll="0">
      <items count="27">
        <item x="4"/>
        <item x="23"/>
        <item x="24"/>
        <item x="25"/>
        <item x="2"/>
        <item x="19"/>
        <item x="18"/>
        <item x="1"/>
        <item x="16"/>
        <item x="21"/>
        <item x="3"/>
        <item x="14"/>
        <item x="11"/>
        <item x="9"/>
        <item x="12"/>
        <item x="5"/>
        <item x="6"/>
        <item x="8"/>
        <item x="7"/>
        <item x="13"/>
        <item x="10"/>
        <item x="22"/>
        <item x="20"/>
        <item x="15"/>
        <item x="17"/>
        <item x="0"/>
        <item t="default"/>
      </items>
    </pivotField>
    <pivotField compact="0" outline="0" showAll="0">
      <items count="3">
        <item x="1"/>
        <item x="0"/>
        <item t="default"/>
      </items>
    </pivotField>
    <pivotField axis="axisRow" compact="0" outline="0" showAll="0" defaultSubtotal="0">
      <items count="4">
        <item x="0"/>
        <item x="2"/>
        <item x="3"/>
        <item x="1"/>
      </items>
    </pivotField>
    <pivotField compact="0" numFmtId="164" outline="0" showAll="0"/>
    <pivotField compact="0" numFmtId="164" outline="0" showAll="0"/>
    <pivotField compact="0" outline="0" showAll="0"/>
    <pivotField compact="0" outline="0" showAll="0"/>
    <pivotField axis="axisRow" compact="0" outline="0" showAll="0" sortType="descending">
      <items count="7">
        <item x="0"/>
        <item x="5"/>
        <item x="2"/>
        <item x="4"/>
        <item x="3"/>
        <item x="1"/>
        <item t="default"/>
      </items>
      <autoSortScope>
        <pivotArea dataOnly="0" outline="0" fieldPosition="0">
          <references count="1">
            <reference field="4294967294" count="1" selected="0">
              <x v="0"/>
            </reference>
          </references>
        </pivotArea>
      </autoSortScope>
    </pivotField>
    <pivotField compact="0" outline="0" showAll="0"/>
    <pivotField compact="0" numFmtId="173" outline="0" showAll="0"/>
    <pivotField axis="axisRow" compact="0" outline="0" showAll="0">
      <items count="3">
        <item x="1"/>
        <item x="0"/>
        <item t="default"/>
      </items>
    </pivotField>
    <pivotField dataField="1" compact="0" numFmtId="173" outline="0" showAll="0"/>
    <pivotField compact="0" outline="0" showAll="0"/>
  </pivotFields>
  <rowFields count="3">
    <field x="9"/>
    <field x="4"/>
    <field x="12"/>
  </rowFields>
  <rowItems count="37">
    <i>
      <x v="4"/>
      <x/>
      <x/>
    </i>
    <i r="2">
      <x v="1"/>
    </i>
    <i r="1">
      <x v="1"/>
      <x/>
    </i>
    <i r="2">
      <x v="1"/>
    </i>
    <i r="1">
      <x v="2"/>
      <x/>
    </i>
    <i r="2">
      <x v="1"/>
    </i>
    <i r="1">
      <x v="3"/>
      <x/>
    </i>
    <i r="2">
      <x v="1"/>
    </i>
    <i t="default">
      <x v="4"/>
    </i>
    <i>
      <x/>
      <x/>
      <x v="1"/>
    </i>
    <i r="1">
      <x v="1"/>
      <x v="1"/>
    </i>
    <i r="1">
      <x v="2"/>
      <x/>
    </i>
    <i r="1">
      <x v="3"/>
      <x/>
    </i>
    <i r="2">
      <x v="1"/>
    </i>
    <i t="default">
      <x/>
    </i>
    <i>
      <x v="1"/>
      <x/>
      <x v="1"/>
    </i>
    <i r="1">
      <x v="1"/>
      <x/>
    </i>
    <i r="1">
      <x v="2"/>
      <x/>
    </i>
    <i r="1">
      <x v="3"/>
      <x/>
    </i>
    <i t="default">
      <x v="1"/>
    </i>
    <i>
      <x v="3"/>
      <x/>
      <x v="1"/>
    </i>
    <i r="1">
      <x v="1"/>
      <x/>
    </i>
    <i r="2">
      <x v="1"/>
    </i>
    <i r="1">
      <x v="2"/>
      <x/>
    </i>
    <i r="1">
      <x v="3"/>
      <x v="1"/>
    </i>
    <i t="default">
      <x v="3"/>
    </i>
    <i>
      <x v="2"/>
      <x/>
      <x/>
    </i>
    <i r="1">
      <x v="1"/>
      <x/>
    </i>
    <i r="1">
      <x v="3"/>
      <x/>
    </i>
    <i r="2">
      <x v="1"/>
    </i>
    <i t="default">
      <x v="2"/>
    </i>
    <i>
      <x v="5"/>
      <x/>
      <x/>
    </i>
    <i r="2">
      <x v="1"/>
    </i>
    <i r="1">
      <x v="2"/>
      <x v="1"/>
    </i>
    <i r="1">
      <x v="3"/>
      <x/>
    </i>
    <i t="default">
      <x v="5"/>
    </i>
    <i t="grand">
      <x/>
    </i>
  </rowItems>
  <colFields count="1">
    <field x="-2"/>
  </colFields>
  <colItems count="3">
    <i>
      <x/>
    </i>
    <i i="1">
      <x v="1"/>
    </i>
    <i i="2">
      <x v="2"/>
    </i>
  </colItems>
  <dataFields count="3">
    <dataField name="Sum of Total_Revenue" fld="13" baseField="0" baseItem="0" numFmtId="173"/>
    <dataField name="Average of per member" fld="13" subtotal="average" baseField="12" baseItem="1" numFmtId="173"/>
    <dataField name="Count of Member_ID" fld="0" subtotal="count" baseField="0" baseItem="0"/>
  </dataFields>
  <formats count="36">
    <format dxfId="123">
      <pivotArea type="all" dataOnly="0" outline="0" fieldPosition="0"/>
    </format>
    <format dxfId="124">
      <pivotArea outline="0" collapsedLevelsAreSubtotals="1" fieldPosition="0"/>
    </format>
    <format dxfId="125">
      <pivotArea field="9" type="button" dataOnly="0" labelOnly="1" outline="0" axis="axisRow" fieldPosition="0"/>
    </format>
    <format dxfId="126">
      <pivotArea dataOnly="0" labelOnly="1" fieldPosition="0">
        <references count="1">
          <reference field="9" count="0"/>
        </references>
      </pivotArea>
    </format>
    <format dxfId="127">
      <pivotArea dataOnly="0" labelOnly="1" grandRow="1" outline="0" fieldPosition="0"/>
    </format>
    <format dxfId="128">
      <pivotArea dataOnly="0" labelOnly="1" fieldPosition="0">
        <references count="2">
          <reference field="4" count="0"/>
          <reference field="9" count="1" selected="0">
            <x v="0"/>
          </reference>
        </references>
      </pivotArea>
    </format>
    <format dxfId="129">
      <pivotArea dataOnly="0" labelOnly="1" fieldPosition="0">
        <references count="2">
          <reference field="4" count="0"/>
          <reference field="9" count="1" selected="0">
            <x v="1"/>
          </reference>
        </references>
      </pivotArea>
    </format>
    <format dxfId="130">
      <pivotArea dataOnly="0" labelOnly="1" fieldPosition="0">
        <references count="2">
          <reference field="4" count="3">
            <x v="0"/>
            <x v="1"/>
            <x v="3"/>
          </reference>
          <reference field="9" count="1" selected="0">
            <x v="2"/>
          </reference>
        </references>
      </pivotArea>
    </format>
    <format dxfId="131">
      <pivotArea dataOnly="0" labelOnly="1" fieldPosition="0">
        <references count="2">
          <reference field="4" count="0"/>
          <reference field="9" count="1" selected="0">
            <x v="3"/>
          </reference>
        </references>
      </pivotArea>
    </format>
    <format dxfId="132">
      <pivotArea dataOnly="0" labelOnly="1" fieldPosition="0">
        <references count="2">
          <reference field="4" count="0"/>
          <reference field="9" count="1" selected="0">
            <x v="4"/>
          </reference>
        </references>
      </pivotArea>
    </format>
    <format dxfId="133">
      <pivotArea dataOnly="0" labelOnly="1" fieldPosition="0">
        <references count="2">
          <reference field="4" count="3">
            <x v="0"/>
            <x v="2"/>
            <x v="3"/>
          </reference>
          <reference field="9" count="1" selected="0">
            <x v="5"/>
          </reference>
        </references>
      </pivotArea>
    </format>
    <format dxfId="134">
      <pivotArea dataOnly="0" labelOnly="1" outline="0" fieldPosition="0">
        <references count="1">
          <reference field="4294967294" count="2">
            <x v="0"/>
            <x v="2"/>
          </reference>
        </references>
      </pivotArea>
    </format>
    <format dxfId="135">
      <pivotArea type="all" dataOnly="0" outline="0" fieldPosition="0"/>
    </format>
    <format dxfId="136">
      <pivotArea outline="0" collapsedLevelsAreSubtotals="1" fieldPosition="0"/>
    </format>
    <format dxfId="137">
      <pivotArea field="9" type="button" dataOnly="0" labelOnly="1" outline="0" axis="axisRow" fieldPosition="0"/>
    </format>
    <format dxfId="138">
      <pivotArea dataOnly="0" labelOnly="1" fieldPosition="0">
        <references count="1">
          <reference field="9" count="0"/>
        </references>
      </pivotArea>
    </format>
    <format dxfId="139">
      <pivotArea dataOnly="0" labelOnly="1" grandRow="1" outline="0" fieldPosition="0"/>
    </format>
    <format dxfId="140">
      <pivotArea dataOnly="0" labelOnly="1" fieldPosition="0">
        <references count="2">
          <reference field="4" count="0"/>
          <reference field="9" count="1" selected="0">
            <x v="0"/>
          </reference>
        </references>
      </pivotArea>
    </format>
    <format dxfId="141">
      <pivotArea dataOnly="0" labelOnly="1" fieldPosition="0">
        <references count="2">
          <reference field="4" count="0"/>
          <reference field="9" count="1" selected="0">
            <x v="1"/>
          </reference>
        </references>
      </pivotArea>
    </format>
    <format dxfId="142">
      <pivotArea dataOnly="0" labelOnly="1" fieldPosition="0">
        <references count="2">
          <reference field="4" count="3">
            <x v="0"/>
            <x v="1"/>
            <x v="3"/>
          </reference>
          <reference field="9" count="1" selected="0">
            <x v="2"/>
          </reference>
        </references>
      </pivotArea>
    </format>
    <format dxfId="143">
      <pivotArea dataOnly="0" labelOnly="1" fieldPosition="0">
        <references count="2">
          <reference field="4" count="0"/>
          <reference field="9" count="1" selected="0">
            <x v="3"/>
          </reference>
        </references>
      </pivotArea>
    </format>
    <format dxfId="144">
      <pivotArea dataOnly="0" labelOnly="1" fieldPosition="0">
        <references count="2">
          <reference field="4" count="0"/>
          <reference field="9" count="1" selected="0">
            <x v="4"/>
          </reference>
        </references>
      </pivotArea>
    </format>
    <format dxfId="145">
      <pivotArea dataOnly="0" labelOnly="1" fieldPosition="0">
        <references count="2">
          <reference field="4" count="3">
            <x v="0"/>
            <x v="2"/>
            <x v="3"/>
          </reference>
          <reference field="9" count="1" selected="0">
            <x v="5"/>
          </reference>
        </references>
      </pivotArea>
    </format>
    <format dxfId="146">
      <pivotArea dataOnly="0" labelOnly="1" outline="0" fieldPosition="0">
        <references count="1">
          <reference field="4294967294" count="2">
            <x v="0"/>
            <x v="2"/>
          </reference>
        </references>
      </pivotArea>
    </format>
    <format dxfId="147">
      <pivotArea type="all" dataOnly="0" outline="0" fieldPosition="0"/>
    </format>
    <format dxfId="148">
      <pivotArea outline="0" collapsedLevelsAreSubtotals="1" fieldPosition="0"/>
    </format>
    <format dxfId="149">
      <pivotArea field="9" type="button" dataOnly="0" labelOnly="1" outline="0" axis="axisRow" fieldPosition="0"/>
    </format>
    <format dxfId="150">
      <pivotArea dataOnly="0" labelOnly="1" fieldPosition="0">
        <references count="1">
          <reference field="9" count="0"/>
        </references>
      </pivotArea>
    </format>
    <format dxfId="151">
      <pivotArea dataOnly="0" labelOnly="1" grandRow="1" outline="0" fieldPosition="0"/>
    </format>
    <format dxfId="152">
      <pivotArea dataOnly="0" labelOnly="1" fieldPosition="0">
        <references count="2">
          <reference field="4" count="0"/>
          <reference field="9" count="1" selected="0">
            <x v="0"/>
          </reference>
        </references>
      </pivotArea>
    </format>
    <format dxfId="153">
      <pivotArea dataOnly="0" labelOnly="1" fieldPosition="0">
        <references count="2">
          <reference field="4" count="0"/>
          <reference field="9" count="1" selected="0">
            <x v="1"/>
          </reference>
        </references>
      </pivotArea>
    </format>
    <format dxfId="154">
      <pivotArea dataOnly="0" labelOnly="1" fieldPosition="0">
        <references count="2">
          <reference field="4" count="3">
            <x v="0"/>
            <x v="1"/>
            <x v="3"/>
          </reference>
          <reference field="9" count="1" selected="0">
            <x v="2"/>
          </reference>
        </references>
      </pivotArea>
    </format>
    <format dxfId="155">
      <pivotArea dataOnly="0" labelOnly="1" fieldPosition="0">
        <references count="2">
          <reference field="4" count="0"/>
          <reference field="9" count="1" selected="0">
            <x v="3"/>
          </reference>
        </references>
      </pivotArea>
    </format>
    <format dxfId="156">
      <pivotArea dataOnly="0" labelOnly="1" fieldPosition="0">
        <references count="2">
          <reference field="4" count="0"/>
          <reference field="9" count="1" selected="0">
            <x v="4"/>
          </reference>
        </references>
      </pivotArea>
    </format>
    <format dxfId="157">
      <pivotArea dataOnly="0" labelOnly="1" fieldPosition="0">
        <references count="2">
          <reference field="4" count="3">
            <x v="0"/>
            <x v="2"/>
            <x v="3"/>
          </reference>
          <reference field="9" count="1" selected="0">
            <x v="5"/>
          </reference>
        </references>
      </pivotArea>
    </format>
    <format dxfId="158">
      <pivotArea dataOnly="0" labelOnly="1" outline="0" fieldPosition="0">
        <references count="1">
          <reference field="4294967294" count="2">
            <x v="0"/>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E48B2C-BBBC-48E4-8E09-AA1E40740739}" name="PivotTable5"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mbership type" colHeaderCaption="Age Group">
  <location ref="F16:J22" firstHeaderRow="1" firstDataRow="2" firstDataCol="1"/>
  <pivotFields count="15">
    <pivotField dataField="1" showAll="0"/>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axis="axisRow" showAll="0">
      <items count="5">
        <item x="0"/>
        <item x="2"/>
        <item x="3"/>
        <item x="1"/>
        <item t="default"/>
      </items>
    </pivotField>
    <pivotField numFmtId="164" showAll="0"/>
    <pivotField numFmtId="164" showAll="0"/>
    <pivotField showAll="0"/>
    <pivotField numFmtId="1" showAll="0"/>
    <pivotField showAll="0" sortType="descending">
      <items count="7">
        <item x="0"/>
        <item x="5"/>
        <item x="2"/>
        <item x="4"/>
        <item x="3"/>
        <item x="1"/>
        <item t="default"/>
      </items>
      <autoSortScope>
        <pivotArea dataOnly="0" outline="0" fieldPosition="0">
          <references count="1">
            <reference field="4294967294" count="1" selected="0">
              <x v="0"/>
            </reference>
          </references>
        </pivotArea>
      </autoSortScope>
    </pivotField>
    <pivotField showAll="0"/>
    <pivotField numFmtId="173" showAll="0"/>
    <pivotField showAll="0"/>
    <pivotField numFmtId="173" showAll="0"/>
    <pivotField axis="axisCol" showAll="0">
      <items count="4">
        <item x="2"/>
        <item x="0"/>
        <item x="1"/>
        <item t="default"/>
      </items>
    </pivotField>
  </pivotFields>
  <rowFields count="1">
    <field x="4"/>
  </rowFields>
  <rowItems count="5">
    <i>
      <x/>
    </i>
    <i>
      <x v="1"/>
    </i>
    <i>
      <x v="2"/>
    </i>
    <i>
      <x v="3"/>
    </i>
    <i t="grand">
      <x/>
    </i>
  </rowItems>
  <colFields count="1">
    <field x="14"/>
  </colFields>
  <colItems count="4">
    <i>
      <x/>
    </i>
    <i>
      <x v="1"/>
    </i>
    <i>
      <x v="2"/>
    </i>
    <i t="grand">
      <x/>
    </i>
  </colItems>
  <dataFields count="1">
    <dataField name="Count of Member_ID" fld="0" subtotal="count" baseField="0" baseItem="0"/>
  </dataFields>
  <formats count="10">
    <format dxfId="49">
      <pivotArea type="all" dataOnly="0" outline="0" fieldPosition="0"/>
    </format>
    <format dxfId="43">
      <pivotArea outline="0" collapsedLevelsAreSubtotals="1" fieldPosition="0"/>
    </format>
    <format dxfId="42">
      <pivotArea type="origin" dataOnly="0" labelOnly="1" outline="0" fieldPosition="0"/>
    </format>
    <format dxfId="41">
      <pivotArea field="14" type="button" dataOnly="0" labelOnly="1" outline="0" axis="axisCol" fieldPosition="0"/>
    </format>
    <format dxfId="40">
      <pivotArea type="topRight" dataOnly="0" labelOnly="1" outline="0"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fieldPosition="0">
        <references count="1">
          <reference field="14" count="0"/>
        </references>
      </pivotArea>
    </format>
    <format dxfId="3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26D99C-109C-4F20-9BEB-55DE5F44A45B}" name="PivotTable4"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colHeaderCaption="GENDER">
  <location ref="A15:D23" firstHeaderRow="1" firstDataRow="2" firstDataCol="1"/>
  <pivotFields count="15">
    <pivotField dataField="1" showAll="0"/>
    <pivotField showAll="0"/>
    <pivotField showAll="0"/>
    <pivotField axis="axisCol"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showAll="0"/>
    <pivotField numFmtId="1" showAll="0"/>
    <pivotField axis="axisRow" showAll="0" sortType="descending">
      <items count="7">
        <item x="0"/>
        <item x="5"/>
        <item x="2"/>
        <item x="4"/>
        <item x="3"/>
        <item x="1"/>
        <item t="default"/>
      </items>
      <autoSortScope>
        <pivotArea dataOnly="0" outline="0" fieldPosition="0">
          <references count="1">
            <reference field="4294967294" count="1" selected="0">
              <x v="0"/>
            </reference>
          </references>
        </pivotArea>
      </autoSortScope>
    </pivotField>
    <pivotField showAll="0"/>
    <pivotField numFmtId="173" showAll="0"/>
    <pivotField showAll="0"/>
    <pivotField numFmtId="173" showAll="0"/>
    <pivotField showAll="0"/>
  </pivotFields>
  <rowFields count="1">
    <field x="9"/>
  </rowFields>
  <rowItems count="7">
    <i>
      <x v="4"/>
    </i>
    <i>
      <x v="3"/>
    </i>
    <i>
      <x v="5"/>
    </i>
    <i>
      <x/>
    </i>
    <i>
      <x v="2"/>
    </i>
    <i>
      <x v="1"/>
    </i>
    <i t="grand">
      <x/>
    </i>
  </rowItems>
  <colFields count="1">
    <field x="3"/>
  </colFields>
  <colItems count="3">
    <i>
      <x v="1"/>
    </i>
    <i>
      <x/>
    </i>
    <i t="grand">
      <x/>
    </i>
  </colItems>
  <dataFields count="1">
    <dataField name="Count of Member_ID" fld="0" subtotal="count" baseField="0" baseItem="0"/>
  </dataFields>
  <formats count="10">
    <format dxfId="34">
      <pivotArea type="all" dataOnly="0" outline="0" fieldPosition="0"/>
    </format>
    <format dxfId="25">
      <pivotArea outline="0" collapsedLevelsAreSubtotals="1" fieldPosition="0"/>
    </format>
    <format dxfId="24">
      <pivotArea type="origin" dataOnly="0" labelOnly="1" outline="0" fieldPosition="0"/>
    </format>
    <format dxfId="23">
      <pivotArea field="3" type="button" dataOnly="0" labelOnly="1" outline="0" axis="axisCol" fieldPosition="0"/>
    </format>
    <format dxfId="22">
      <pivotArea type="topRight" dataOnly="0" labelOnly="1" outline="0" fieldPosition="0"/>
    </format>
    <format dxfId="21">
      <pivotArea field="9" type="button" dataOnly="0" labelOnly="1" outline="0" axis="axisRow" fieldPosition="0"/>
    </format>
    <format dxfId="20">
      <pivotArea dataOnly="0" labelOnly="1" fieldPosition="0">
        <references count="1">
          <reference field="9" count="0"/>
        </references>
      </pivotArea>
    </format>
    <format dxfId="19">
      <pivotArea dataOnly="0" labelOnly="1" grandRow="1" outline="0" fieldPosition="0"/>
    </format>
    <format dxfId="18">
      <pivotArea dataOnly="0" labelOnly="1" fieldPosition="0">
        <references count="1">
          <reference field="3" count="0"/>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DA07D-EF00-4F10-958A-A41BBAA84892}"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mbership Type" colHeaderCaption="City">
  <location ref="D2:K8" firstHeaderRow="1" firstDataRow="2" firstDataCol="1"/>
  <pivotFields count="15">
    <pivotField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axis="axisCol" showAll="0">
      <items count="7">
        <item x="0"/>
        <item x="5"/>
        <item x="2"/>
        <item x="4"/>
        <item x="3"/>
        <item x="1"/>
        <item t="default"/>
      </items>
    </pivotField>
    <pivotField showAll="0"/>
    <pivotField numFmtId="173" showAll="0"/>
    <pivotField showAll="0">
      <items count="3">
        <item x="1"/>
        <item x="0"/>
        <item t="default"/>
      </items>
    </pivotField>
    <pivotField dataField="1" numFmtId="173" showAll="0"/>
    <pivotField dragToRow="0" dragToCol="0" dragToPage="0" showAll="0" defaultSubtotal="0"/>
  </pivotFields>
  <rowFields count="1">
    <field x="4"/>
  </rowFields>
  <rowItems count="5">
    <i>
      <x/>
    </i>
    <i>
      <x v="1"/>
    </i>
    <i>
      <x v="2"/>
    </i>
    <i>
      <x v="3"/>
    </i>
    <i t="grand">
      <x/>
    </i>
  </rowItems>
  <colFields count="1">
    <field x="9"/>
  </colFields>
  <colItems count="7">
    <i>
      <x/>
    </i>
    <i>
      <x v="1"/>
    </i>
    <i>
      <x v="2"/>
    </i>
    <i>
      <x v="3"/>
    </i>
    <i>
      <x v="4"/>
    </i>
    <i>
      <x v="5"/>
    </i>
    <i t="grand">
      <x/>
    </i>
  </colItems>
  <dataFields count="1">
    <dataField name="Sum of Total_Revenue" fld="13" baseField="0" baseItem="0" numFmtId="173"/>
  </dataFields>
  <formats count="24">
    <format dxfId="162">
      <pivotArea type="all" dataOnly="0" outline="0" fieldPosition="0"/>
    </format>
    <format dxfId="163">
      <pivotArea outline="0" collapsedLevelsAreSubtotals="1" fieldPosition="0"/>
    </format>
    <format dxfId="164">
      <pivotArea field="12" type="button" dataOnly="0" labelOnly="1" outline="0"/>
    </format>
    <format dxfId="165">
      <pivotArea dataOnly="0" labelOnly="1" grandRow="1" outline="0" fieldPosition="0"/>
    </format>
    <format dxfId="166">
      <pivotArea dataOnly="0" labelOnly="1" outline="0" axis="axisValues" fieldPosition="0"/>
    </format>
    <format dxfId="167">
      <pivotArea type="all" dataOnly="0" outline="0" fieldPosition="0"/>
    </format>
    <format dxfId="168">
      <pivotArea outline="0" collapsedLevelsAreSubtotals="1" fieldPosition="0"/>
    </format>
    <format dxfId="169">
      <pivotArea field="12" type="button" dataOnly="0" labelOnly="1" outline="0"/>
    </format>
    <format dxfId="170">
      <pivotArea dataOnly="0" labelOnly="1" grandRow="1" outline="0" fieldPosition="0"/>
    </format>
    <format dxfId="171">
      <pivotArea dataOnly="0" labelOnly="1" outline="0" axis="axisValues" fieldPosition="0"/>
    </format>
    <format dxfId="172">
      <pivotArea outline="0" collapsedLevelsAreSubtotals="1" fieldPosition="0"/>
    </format>
    <format dxfId="161">
      <pivotArea field="4" type="button" dataOnly="0" labelOnly="1" outline="0" axis="axisRow" fieldPosition="0"/>
    </format>
    <format dxfId="160">
      <pivotArea field="4" type="button" dataOnly="0" labelOnly="1" outline="0" axis="axisRow" fieldPosition="0"/>
    </format>
    <format dxfId="159">
      <pivotArea field="9" type="button" dataOnly="0" labelOnly="1" outline="0" axis="axisCol"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axis="axisCol" fieldPosition="0"/>
    </format>
    <format dxfId="5">
      <pivotArea type="topRight" dataOnly="0" labelOnly="1" outline="0"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fieldPosition="0">
        <references count="1">
          <reference field="9"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E42DA6-9093-4B97-ADE9-E6EAC9B510A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ferred">
  <location ref="A3:B6" firstHeaderRow="1" firstDataRow="1" firstDataCol="1"/>
  <pivotFields count="13">
    <pivotField showAll="0"/>
    <pivotField showAll="0"/>
    <pivotField showAll="0"/>
    <pivotField showAll="0"/>
    <pivotField showAll="0"/>
    <pivotField numFmtId="164" showAll="0"/>
    <pivotField numFmtId="164" showAll="0"/>
    <pivotField dataField="1" showAll="0"/>
    <pivotField showAll="0"/>
    <pivotField showAll="0"/>
    <pivotField showAll="0"/>
    <pivotField numFmtId="173" showAll="0"/>
    <pivotField axis="axisRow" showAll="0">
      <items count="3">
        <item x="1"/>
        <item x="0"/>
        <item t="default"/>
      </items>
    </pivotField>
  </pivotFields>
  <rowFields count="1">
    <field x="12"/>
  </rowFields>
  <rowItems count="3">
    <i>
      <x/>
    </i>
    <i>
      <x v="1"/>
    </i>
    <i t="grand">
      <x/>
    </i>
  </rowItems>
  <colItems count="1">
    <i/>
  </colItems>
  <dataFields count="1">
    <dataField name="Average of Monthly_Fee" fld="7" subtotal="average" baseField="12" baseItem="0" numFmtId="178"/>
  </dataFields>
  <formats count="19">
    <format dxfId="185">
      <pivotArea type="all" dataOnly="0" outline="0" fieldPosition="0"/>
    </format>
    <format dxfId="184">
      <pivotArea outline="0" collapsedLevelsAreSubtotals="1" fieldPosition="0"/>
    </format>
    <format dxfId="183">
      <pivotArea field="12" type="button" dataOnly="0" labelOnly="1" outline="0" axis="axisRow" fieldPosition="0"/>
    </format>
    <format dxfId="182">
      <pivotArea dataOnly="0" labelOnly="1" fieldPosition="0">
        <references count="1">
          <reference field="12" count="0"/>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12" type="button" dataOnly="0" labelOnly="1" outline="0" axis="axisRow" fieldPosition="0"/>
    </format>
    <format dxfId="176">
      <pivotArea dataOnly="0" labelOnly="1" fieldPosition="0">
        <references count="1">
          <reference field="12" count="0"/>
        </references>
      </pivotArea>
    </format>
    <format dxfId="175">
      <pivotArea dataOnly="0" labelOnly="1" grandRow="1" outline="0" fieldPosition="0"/>
    </format>
    <format dxfId="174">
      <pivotArea dataOnly="0" labelOnly="1" outline="0" axis="axisValues" fieldPosition="0"/>
    </format>
    <format dxfId="173">
      <pivotArea outline="0" collapsedLevelsAreSubtotals="1" fieldPosition="0"/>
    </format>
    <format dxfId="16">
      <pivotArea type="all" dataOnly="0" outline="0" fieldPosition="0"/>
    </format>
    <format dxfId="15">
      <pivotArea outline="0" collapsedLevelsAreSubtotals="1" fieldPosition="0"/>
    </format>
    <format dxfId="14">
      <pivotArea field="12" type="button" dataOnly="0" labelOnly="1" outline="0" axis="axisRow" fieldPosition="0"/>
    </format>
    <format dxfId="13">
      <pivotArea dataOnly="0" labelOnly="1" fieldPosition="0">
        <references count="1">
          <reference field="12"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5407F3-DEEE-488C-A094-8A133413C7C2}" sourceName="Gender">
  <pivotTables>
    <pivotTable tabId="3" name="PivotTable3"/>
  </pivotTables>
  <data>
    <tabular pivotCacheId="188561871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0230A885-1F9F-400A-B723-8708D5D74587}" sourceName="Membership_Type">
  <pivotTables>
    <pivotTable tabId="3" name="PivotTable3"/>
  </pivotTables>
  <data>
    <tabular pivotCacheId="188561871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3A68FF8-023E-4621-9006-D75B077589EE}" sourceName="City">
  <pivotTables>
    <pivotTable tabId="3" name="PivotTable3"/>
  </pivotTables>
  <data>
    <tabular pivotCacheId="1885618719">
      <items count="6">
        <i x="0" s="1"/>
        <i x="5"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C3C2FBE5-BDBF-45AC-9064-F4EE46C19477}" sourceName="Referred">
  <pivotTables>
    <pivotTable tabId="3" name="PivotTable3"/>
  </pivotTables>
  <data>
    <tabular pivotCacheId="18856187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E8E5DFC-9111-45FA-BDD9-D2C9810BEBEA}" cache="Slicer_Gender" caption="Gender" rowHeight="241200"/>
  <slicer name="Membership_Type" xr10:uid="{C82639F1-52CD-437C-ACE6-A6240004C1C6}" cache="Slicer_Membership_Type" caption="Membership_Type" columnCount="2" rowHeight="241200"/>
  <slicer name="City" xr10:uid="{4D063368-6A9E-4A22-9E17-0482433A8452}" cache="Slicer_City" caption="City" columnCount="3" rowHeight="241200"/>
  <slicer name="Referred" xr10:uid="{F23ACE96-00DE-423B-9275-761036C78958}" cache="Slicer_Referred" caption="Referred" rowHeight="2412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zoomScale="90" zoomScaleNormal="90" workbookViewId="0">
      <selection activeCell="R25" sqref="R25"/>
    </sheetView>
  </sheetViews>
  <sheetFormatPr defaultColWidth="14.42578125" defaultRowHeight="15" customHeight="1" x14ac:dyDescent="0.25"/>
  <cols>
    <col min="1" max="1" width="11.5703125" bestFit="1" customWidth="1"/>
    <col min="2" max="2" width="16.42578125" bestFit="1" customWidth="1"/>
    <col min="3" max="3" width="4.42578125" bestFit="1" customWidth="1"/>
    <col min="4" max="4" width="7.7109375" bestFit="1" customWidth="1"/>
    <col min="5" max="5" width="18" bestFit="1" customWidth="1"/>
    <col min="6" max="7" width="11.28515625" bestFit="1" customWidth="1"/>
    <col min="8" max="8" width="12.85546875" bestFit="1" customWidth="1"/>
    <col min="9" max="9" width="11.28515625" style="12" bestFit="1" customWidth="1"/>
    <col min="10" max="10" width="10.5703125" bestFit="1" customWidth="1"/>
    <col min="11" max="11" width="19.5703125" bestFit="1" customWidth="1"/>
    <col min="12" max="12" width="16.7109375" style="2" bestFit="1" customWidth="1"/>
    <col min="13" max="13" width="8.85546875" style="2" bestFit="1" customWidth="1"/>
    <col min="14" max="14" width="14.42578125" style="2" bestFit="1" customWidth="1"/>
    <col min="15" max="15" width="6.7109375" bestFit="1" customWidth="1"/>
    <col min="16" max="16" width="20.140625" customWidth="1"/>
    <col min="17" max="24" width="8.7109375" customWidth="1"/>
  </cols>
  <sheetData>
    <row r="1" spans="1:16" ht="40.5" customHeight="1" x14ac:dyDescent="0.25">
      <c r="A1" s="18" t="s">
        <v>107</v>
      </c>
      <c r="B1" s="18" t="s">
        <v>0</v>
      </c>
      <c r="C1" s="18" t="s">
        <v>1</v>
      </c>
      <c r="D1" s="18" t="s">
        <v>2</v>
      </c>
      <c r="E1" s="18" t="s">
        <v>3</v>
      </c>
      <c r="F1" s="18" t="s">
        <v>4</v>
      </c>
      <c r="G1" s="18" t="s">
        <v>5</v>
      </c>
      <c r="H1" s="18" t="s">
        <v>6</v>
      </c>
      <c r="I1" s="19" t="s">
        <v>7</v>
      </c>
      <c r="J1" s="18" t="s">
        <v>8</v>
      </c>
      <c r="K1" s="18" t="s">
        <v>9</v>
      </c>
      <c r="L1" s="20" t="s">
        <v>109</v>
      </c>
      <c r="M1" s="20" t="s">
        <v>108</v>
      </c>
      <c r="N1" s="21" t="s">
        <v>114</v>
      </c>
      <c r="O1" s="21" t="s">
        <v>129</v>
      </c>
    </row>
    <row r="2" spans="1:16" x14ac:dyDescent="0.25">
      <c r="A2" s="22" t="s">
        <v>10</v>
      </c>
      <c r="B2" s="22" t="s">
        <v>11</v>
      </c>
      <c r="C2" s="22">
        <v>59</v>
      </c>
      <c r="D2" s="22" t="s">
        <v>12</v>
      </c>
      <c r="E2" s="22" t="s">
        <v>13</v>
      </c>
      <c r="F2" s="23">
        <v>45235</v>
      </c>
      <c r="G2" s="23">
        <v>45425</v>
      </c>
      <c r="H2" s="22">
        <v>800</v>
      </c>
      <c r="I2" s="24">
        <v>25</v>
      </c>
      <c r="J2" s="22" t="s">
        <v>14</v>
      </c>
      <c r="K2" s="22" t="s">
        <v>15</v>
      </c>
      <c r="L2" s="15">
        <f>(G2-F2)/30</f>
        <v>6.333333333333333</v>
      </c>
      <c r="M2" s="14" t="str">
        <f>IF(ISBLANK(K2)=FALSE,"Yes","No")</f>
        <v>Yes</v>
      </c>
      <c r="N2" s="15">
        <f t="shared" ref="N2:N36" si="0">H2*L2</f>
        <v>5066.6666666666661</v>
      </c>
      <c r="O2" s="14" t="str">
        <f>IF($C2&lt;=30,"Youth",IF($C2&lt;=45,"Adult","Senior"))</f>
        <v>Senior</v>
      </c>
    </row>
    <row r="3" spans="1:16" x14ac:dyDescent="0.25">
      <c r="A3" s="22" t="s">
        <v>16</v>
      </c>
      <c r="B3" s="22" t="s">
        <v>17</v>
      </c>
      <c r="C3" s="22">
        <v>27</v>
      </c>
      <c r="D3" s="22" t="s">
        <v>12</v>
      </c>
      <c r="E3" s="22" t="s">
        <v>13</v>
      </c>
      <c r="F3" s="23">
        <v>45714</v>
      </c>
      <c r="G3" s="23">
        <v>45740</v>
      </c>
      <c r="H3" s="22">
        <v>800</v>
      </c>
      <c r="I3" s="24">
        <v>20</v>
      </c>
      <c r="J3" s="22" t="s">
        <v>18</v>
      </c>
      <c r="K3" s="22" t="s">
        <v>19</v>
      </c>
      <c r="L3" s="15">
        <f>(G3-F3)/30</f>
        <v>0.8666666666666667</v>
      </c>
      <c r="M3" s="14" t="str">
        <f>IF(ISBLANK(K3)=FALSE,"Yes","No")</f>
        <v>Yes</v>
      </c>
      <c r="N3" s="15">
        <f t="shared" si="0"/>
        <v>693.33333333333337</v>
      </c>
      <c r="O3" s="14" t="str">
        <f t="shared" ref="O3:O36" si="1">IF($C3&lt;=30,"Youth",IF($C3&lt;=45,"Adult","Senior"))</f>
        <v>Youth</v>
      </c>
    </row>
    <row r="4" spans="1:16" x14ac:dyDescent="0.25">
      <c r="A4" s="22" t="s">
        <v>20</v>
      </c>
      <c r="B4" s="22" t="s">
        <v>21</v>
      </c>
      <c r="C4" s="22">
        <v>24</v>
      </c>
      <c r="D4" s="22" t="s">
        <v>12</v>
      </c>
      <c r="E4" s="22" t="s">
        <v>22</v>
      </c>
      <c r="F4" s="23">
        <v>45191</v>
      </c>
      <c r="G4" s="23">
        <v>45371</v>
      </c>
      <c r="H4" s="22">
        <v>1200</v>
      </c>
      <c r="I4" s="24">
        <v>18</v>
      </c>
      <c r="J4" s="22" t="s">
        <v>23</v>
      </c>
      <c r="K4" s="22" t="s">
        <v>24</v>
      </c>
      <c r="L4" s="15">
        <f>(G4-F4)/30</f>
        <v>6</v>
      </c>
      <c r="M4" s="14" t="str">
        <f>IF(ISBLANK(K4)=FALSE,"Yes","No")</f>
        <v>Yes</v>
      </c>
      <c r="N4" s="15">
        <f t="shared" si="0"/>
        <v>7200</v>
      </c>
      <c r="O4" s="14" t="str">
        <f t="shared" si="1"/>
        <v>Youth</v>
      </c>
    </row>
    <row r="5" spans="1:16" x14ac:dyDescent="0.25">
      <c r="A5" s="22" t="s">
        <v>25</v>
      </c>
      <c r="B5" s="22" t="s">
        <v>26</v>
      </c>
      <c r="C5" s="22">
        <v>31</v>
      </c>
      <c r="D5" s="22" t="s">
        <v>27</v>
      </c>
      <c r="E5" s="22" t="s">
        <v>22</v>
      </c>
      <c r="F5" s="23">
        <v>45479</v>
      </c>
      <c r="G5" s="23">
        <v>45587</v>
      </c>
      <c r="H5" s="22">
        <v>1200</v>
      </c>
      <c r="I5" s="24">
        <v>16</v>
      </c>
      <c r="J5" s="22" t="s">
        <v>23</v>
      </c>
      <c r="K5" s="22" t="s">
        <v>28</v>
      </c>
      <c r="L5" s="15">
        <f>(G5-F5)/30</f>
        <v>3.6</v>
      </c>
      <c r="M5" s="14" t="str">
        <f>IF(ISBLANK(K5)=FALSE,"Yes","No")</f>
        <v>Yes</v>
      </c>
      <c r="N5" s="15">
        <f t="shared" si="0"/>
        <v>4320</v>
      </c>
      <c r="O5" s="14" t="str">
        <f t="shared" si="1"/>
        <v>Adult</v>
      </c>
    </row>
    <row r="6" spans="1:16" x14ac:dyDescent="0.25">
      <c r="A6" s="22" t="s">
        <v>29</v>
      </c>
      <c r="B6" s="22" t="s">
        <v>30</v>
      </c>
      <c r="C6" s="22">
        <v>19</v>
      </c>
      <c r="D6" s="22" t="s">
        <v>12</v>
      </c>
      <c r="E6" s="22" t="s">
        <v>31</v>
      </c>
      <c r="F6" s="23">
        <v>45286</v>
      </c>
      <c r="G6" s="23">
        <v>45501</v>
      </c>
      <c r="H6" s="22">
        <v>2500</v>
      </c>
      <c r="I6" s="24">
        <v>12</v>
      </c>
      <c r="J6" s="22" t="s">
        <v>14</v>
      </c>
      <c r="K6" s="22" t="s">
        <v>32</v>
      </c>
      <c r="L6" s="15">
        <f>(G6-F6)/30</f>
        <v>7.166666666666667</v>
      </c>
      <c r="M6" s="14" t="str">
        <f>IF(ISBLANK(K6)=FALSE,"Yes","No")</f>
        <v>Yes</v>
      </c>
      <c r="N6" s="15">
        <f t="shared" si="0"/>
        <v>17916.666666666668</v>
      </c>
      <c r="O6" s="14" t="str">
        <f t="shared" si="1"/>
        <v>Youth</v>
      </c>
    </row>
    <row r="7" spans="1:16" x14ac:dyDescent="0.25">
      <c r="A7" s="22" t="s">
        <v>33</v>
      </c>
      <c r="B7" s="22" t="s">
        <v>34</v>
      </c>
      <c r="C7" s="22">
        <v>40</v>
      </c>
      <c r="D7" s="22" t="s">
        <v>12</v>
      </c>
      <c r="E7" s="22" t="s">
        <v>13</v>
      </c>
      <c r="F7" s="23">
        <v>45317</v>
      </c>
      <c r="G7" s="23">
        <v>45392</v>
      </c>
      <c r="H7" s="22">
        <v>800</v>
      </c>
      <c r="I7" s="24">
        <v>14</v>
      </c>
      <c r="J7" s="22" t="s">
        <v>35</v>
      </c>
      <c r="K7" s="22" t="s">
        <v>36</v>
      </c>
      <c r="L7" s="15">
        <f>(G7-F7)/30</f>
        <v>2.5</v>
      </c>
      <c r="M7" s="14" t="str">
        <f>IF(ISBLANK(K7)=FALSE,"Yes","No")</f>
        <v>Yes</v>
      </c>
      <c r="N7" s="15">
        <f t="shared" si="0"/>
        <v>2000</v>
      </c>
      <c r="O7" s="14" t="str">
        <f t="shared" si="1"/>
        <v>Adult</v>
      </c>
    </row>
    <row r="8" spans="1:16" x14ac:dyDescent="0.25">
      <c r="A8" s="22" t="s">
        <v>37</v>
      </c>
      <c r="B8" s="22" t="s">
        <v>38</v>
      </c>
      <c r="C8" s="22">
        <v>41</v>
      </c>
      <c r="D8" s="22" t="s">
        <v>27</v>
      </c>
      <c r="E8" s="22" t="s">
        <v>13</v>
      </c>
      <c r="F8" s="23">
        <v>45588</v>
      </c>
      <c r="G8" s="23">
        <v>45677</v>
      </c>
      <c r="H8" s="22">
        <v>800</v>
      </c>
      <c r="I8" s="24">
        <v>25</v>
      </c>
      <c r="J8" s="22" t="s">
        <v>18</v>
      </c>
      <c r="K8" s="14"/>
      <c r="L8" s="15">
        <f>(G8-F8)/30</f>
        <v>2.9666666666666668</v>
      </c>
      <c r="M8" s="14" t="str">
        <f>IF(ISBLANK(K8)=FALSE,"Yes","No")</f>
        <v>No</v>
      </c>
      <c r="N8" s="15">
        <f t="shared" si="0"/>
        <v>2373.3333333333335</v>
      </c>
      <c r="O8" s="14" t="str">
        <f t="shared" si="1"/>
        <v>Adult</v>
      </c>
    </row>
    <row r="9" spans="1:16" x14ac:dyDescent="0.25">
      <c r="A9" s="22" t="s">
        <v>39</v>
      </c>
      <c r="B9" s="22" t="s">
        <v>40</v>
      </c>
      <c r="C9" s="22">
        <v>43</v>
      </c>
      <c r="D9" s="22" t="s">
        <v>12</v>
      </c>
      <c r="E9" s="22" t="s">
        <v>41</v>
      </c>
      <c r="F9" s="23">
        <v>45450</v>
      </c>
      <c r="G9" s="23">
        <v>45563</v>
      </c>
      <c r="H9" s="22">
        <v>1800</v>
      </c>
      <c r="I9" s="24">
        <v>28</v>
      </c>
      <c r="J9" s="22" t="s">
        <v>42</v>
      </c>
      <c r="K9" s="14"/>
      <c r="L9" s="15">
        <f>(G9-F9)/30</f>
        <v>3.7666666666666666</v>
      </c>
      <c r="M9" s="14" t="str">
        <f>IF(ISBLANK(K9)=FALSE,"Yes","No")</f>
        <v>No</v>
      </c>
      <c r="N9" s="15">
        <f t="shared" si="0"/>
        <v>6780</v>
      </c>
      <c r="O9" s="14" t="str">
        <f t="shared" si="1"/>
        <v>Adult</v>
      </c>
    </row>
    <row r="10" spans="1:16" x14ac:dyDescent="0.25">
      <c r="A10" s="22" t="s">
        <v>43</v>
      </c>
      <c r="B10" s="22" t="s">
        <v>44</v>
      </c>
      <c r="C10" s="22">
        <v>42</v>
      </c>
      <c r="D10" s="22" t="s">
        <v>12</v>
      </c>
      <c r="E10" s="22" t="s">
        <v>13</v>
      </c>
      <c r="F10" s="23">
        <v>45569</v>
      </c>
      <c r="G10" s="23">
        <v>45582</v>
      </c>
      <c r="H10" s="22">
        <v>800</v>
      </c>
      <c r="I10" s="24">
        <v>3</v>
      </c>
      <c r="J10" s="22" t="s">
        <v>42</v>
      </c>
      <c r="K10" s="22" t="s">
        <v>45</v>
      </c>
      <c r="L10" s="15">
        <f>(G10-F10)/30</f>
        <v>0.43333333333333335</v>
      </c>
      <c r="M10" s="14" t="str">
        <f>IF(ISBLANK(K10)=FALSE,"Yes","No")</f>
        <v>Yes</v>
      </c>
      <c r="N10" s="15">
        <f t="shared" si="0"/>
        <v>346.66666666666669</v>
      </c>
      <c r="O10" s="14" t="str">
        <f t="shared" si="1"/>
        <v>Adult</v>
      </c>
    </row>
    <row r="11" spans="1:16" x14ac:dyDescent="0.25">
      <c r="A11" s="22" t="s">
        <v>46</v>
      </c>
      <c r="B11" s="22" t="s">
        <v>47</v>
      </c>
      <c r="C11" s="22">
        <v>37</v>
      </c>
      <c r="D11" s="22" t="s">
        <v>12</v>
      </c>
      <c r="E11" s="22" t="s">
        <v>22</v>
      </c>
      <c r="F11" s="23">
        <v>45202</v>
      </c>
      <c r="G11" s="23">
        <v>45280</v>
      </c>
      <c r="H11" s="22">
        <v>1200</v>
      </c>
      <c r="I11" s="24">
        <v>29</v>
      </c>
      <c r="J11" s="22" t="s">
        <v>35</v>
      </c>
      <c r="K11" s="22" t="s">
        <v>48</v>
      </c>
      <c r="L11" s="15">
        <f>(G11-F11)/30</f>
        <v>2.6</v>
      </c>
      <c r="M11" s="14" t="str">
        <f>IF(ISBLANK(K11)=FALSE,"Yes","No")</f>
        <v>Yes</v>
      </c>
      <c r="N11" s="15">
        <f t="shared" si="0"/>
        <v>3120</v>
      </c>
      <c r="O11" s="14" t="str">
        <f t="shared" si="1"/>
        <v>Adult</v>
      </c>
    </row>
    <row r="12" spans="1:16" x14ac:dyDescent="0.25">
      <c r="A12" s="22" t="s">
        <v>49</v>
      </c>
      <c r="B12" s="22" t="s">
        <v>50</v>
      </c>
      <c r="C12" s="22">
        <v>48</v>
      </c>
      <c r="D12" s="22" t="s">
        <v>27</v>
      </c>
      <c r="E12" s="22" t="s">
        <v>22</v>
      </c>
      <c r="F12" s="23">
        <v>45297</v>
      </c>
      <c r="G12" s="23">
        <v>45459</v>
      </c>
      <c r="H12" s="22">
        <v>1200</v>
      </c>
      <c r="I12" s="24">
        <v>13</v>
      </c>
      <c r="J12" s="22" t="s">
        <v>14</v>
      </c>
      <c r="K12" s="22" t="s">
        <v>51</v>
      </c>
      <c r="L12" s="15">
        <f>(G12-F12)/30</f>
        <v>5.4</v>
      </c>
      <c r="M12" s="14" t="str">
        <f>IF(ISBLANK(K12)=FALSE,"Yes","No")</f>
        <v>Yes</v>
      </c>
      <c r="N12" s="15">
        <f t="shared" si="0"/>
        <v>6480</v>
      </c>
      <c r="O12" s="14" t="str">
        <f t="shared" si="1"/>
        <v>Senior</v>
      </c>
      <c r="P12" s="11"/>
    </row>
    <row r="13" spans="1:16" x14ac:dyDescent="0.25">
      <c r="A13" s="22" t="s">
        <v>52</v>
      </c>
      <c r="B13" s="22" t="s">
        <v>53</v>
      </c>
      <c r="C13" s="22">
        <v>36</v>
      </c>
      <c r="D13" s="22" t="s">
        <v>12</v>
      </c>
      <c r="E13" s="22" t="s">
        <v>22</v>
      </c>
      <c r="F13" s="23">
        <v>45154</v>
      </c>
      <c r="G13" s="23">
        <v>45568</v>
      </c>
      <c r="H13" s="22">
        <v>1200</v>
      </c>
      <c r="I13" s="24">
        <v>19</v>
      </c>
      <c r="J13" s="22" t="s">
        <v>42</v>
      </c>
      <c r="K13" s="22" t="s">
        <v>54</v>
      </c>
      <c r="L13" s="15">
        <f>(G13-F13)/30</f>
        <v>13.8</v>
      </c>
      <c r="M13" s="14" t="str">
        <f>IF(ISBLANK(K13)=FALSE,"Yes","No")</f>
        <v>Yes</v>
      </c>
      <c r="N13" s="15">
        <f t="shared" si="0"/>
        <v>16560</v>
      </c>
      <c r="O13" s="14" t="str">
        <f t="shared" si="1"/>
        <v>Adult</v>
      </c>
    </row>
    <row r="14" spans="1:16" x14ac:dyDescent="0.25">
      <c r="A14" s="22" t="s">
        <v>55</v>
      </c>
      <c r="B14" s="22" t="s">
        <v>56</v>
      </c>
      <c r="C14" s="22">
        <v>48</v>
      </c>
      <c r="D14" s="22" t="s">
        <v>27</v>
      </c>
      <c r="E14" s="22" t="s">
        <v>41</v>
      </c>
      <c r="F14" s="23">
        <v>45556</v>
      </c>
      <c r="G14" s="23">
        <v>45641</v>
      </c>
      <c r="H14" s="22">
        <v>1800</v>
      </c>
      <c r="I14" s="24">
        <v>22</v>
      </c>
      <c r="J14" s="22" t="s">
        <v>42</v>
      </c>
      <c r="K14" s="14"/>
      <c r="L14" s="15">
        <f>(G14-F14)/30</f>
        <v>2.8333333333333335</v>
      </c>
      <c r="M14" s="14" t="str">
        <f>IF(ISBLANK(K14)=FALSE,"Yes","No")</f>
        <v>No</v>
      </c>
      <c r="N14" s="15">
        <f t="shared" si="0"/>
        <v>5100</v>
      </c>
      <c r="O14" s="14" t="str">
        <f t="shared" si="1"/>
        <v>Senior</v>
      </c>
    </row>
    <row r="15" spans="1:16" x14ac:dyDescent="0.25">
      <c r="A15" s="22" t="s">
        <v>57</v>
      </c>
      <c r="B15" s="22" t="s">
        <v>58</v>
      </c>
      <c r="C15" s="22">
        <v>39</v>
      </c>
      <c r="D15" s="22" t="s">
        <v>12</v>
      </c>
      <c r="E15" s="22" t="s">
        <v>22</v>
      </c>
      <c r="F15" s="23">
        <v>45065</v>
      </c>
      <c r="G15" s="23">
        <v>45242</v>
      </c>
      <c r="H15" s="22">
        <v>1200</v>
      </c>
      <c r="I15" s="24">
        <v>28</v>
      </c>
      <c r="J15" s="22" t="s">
        <v>35</v>
      </c>
      <c r="K15" s="14"/>
      <c r="L15" s="15">
        <f>(G15-F15)/30</f>
        <v>5.9</v>
      </c>
      <c r="M15" s="14" t="str">
        <f>IF(ISBLANK(K15)=FALSE,"Yes","No")</f>
        <v>No</v>
      </c>
      <c r="N15" s="15">
        <f t="shared" si="0"/>
        <v>7080</v>
      </c>
      <c r="O15" s="14" t="str">
        <f t="shared" si="1"/>
        <v>Adult</v>
      </c>
    </row>
    <row r="16" spans="1:16" x14ac:dyDescent="0.25">
      <c r="A16" s="22" t="s">
        <v>59</v>
      </c>
      <c r="B16" s="22" t="s">
        <v>60</v>
      </c>
      <c r="C16" s="22">
        <v>44</v>
      </c>
      <c r="D16" s="22" t="s">
        <v>27</v>
      </c>
      <c r="E16" s="22" t="s">
        <v>13</v>
      </c>
      <c r="F16" s="23">
        <v>45333</v>
      </c>
      <c r="G16" s="23">
        <v>45540</v>
      </c>
      <c r="H16" s="22">
        <v>800</v>
      </c>
      <c r="I16" s="24">
        <v>8</v>
      </c>
      <c r="J16" s="22" t="s">
        <v>23</v>
      </c>
      <c r="K16" s="14"/>
      <c r="L16" s="15">
        <f>(G16-F16)/30</f>
        <v>6.9</v>
      </c>
      <c r="M16" s="14" t="str">
        <f>IF(ISBLANK(K16)=FALSE,"Yes","No")</f>
        <v>No</v>
      </c>
      <c r="N16" s="15">
        <f t="shared" si="0"/>
        <v>5520</v>
      </c>
      <c r="O16" s="14" t="str">
        <f t="shared" si="1"/>
        <v>Adult</v>
      </c>
    </row>
    <row r="17" spans="1:15" x14ac:dyDescent="0.25">
      <c r="A17" s="22" t="s">
        <v>61</v>
      </c>
      <c r="B17" s="22" t="s">
        <v>62</v>
      </c>
      <c r="C17" s="22">
        <v>39</v>
      </c>
      <c r="D17" s="22" t="s">
        <v>12</v>
      </c>
      <c r="E17" s="22" t="s">
        <v>31</v>
      </c>
      <c r="F17" s="23">
        <v>45702</v>
      </c>
      <c r="G17" s="23">
        <v>45732</v>
      </c>
      <c r="H17" s="22">
        <v>2500</v>
      </c>
      <c r="I17" s="24">
        <v>14</v>
      </c>
      <c r="J17" s="22" t="s">
        <v>42</v>
      </c>
      <c r="K17" s="14"/>
      <c r="L17" s="15">
        <f>(G17-F17)/30</f>
        <v>1</v>
      </c>
      <c r="M17" s="14" t="str">
        <f>IF(ISBLANK(K17)=FALSE,"Yes","No")</f>
        <v>No</v>
      </c>
      <c r="N17" s="15">
        <f t="shared" si="0"/>
        <v>2500</v>
      </c>
      <c r="O17" s="14" t="str">
        <f t="shared" si="1"/>
        <v>Adult</v>
      </c>
    </row>
    <row r="18" spans="1:15" x14ac:dyDescent="0.25">
      <c r="A18" s="22" t="s">
        <v>63</v>
      </c>
      <c r="B18" s="22" t="s">
        <v>64</v>
      </c>
      <c r="C18" s="22">
        <v>35</v>
      </c>
      <c r="D18" s="22" t="s">
        <v>12</v>
      </c>
      <c r="E18" s="22" t="s">
        <v>22</v>
      </c>
      <c r="F18" s="23">
        <v>45329</v>
      </c>
      <c r="G18" s="23">
        <v>45685</v>
      </c>
      <c r="H18" s="22">
        <v>1200</v>
      </c>
      <c r="I18" s="24">
        <v>25</v>
      </c>
      <c r="J18" s="22" t="s">
        <v>23</v>
      </c>
      <c r="K18" s="14"/>
      <c r="L18" s="15">
        <f>(G18-F18)/30</f>
        <v>11.866666666666667</v>
      </c>
      <c r="M18" s="14" t="str">
        <f>IF(ISBLANK(K18)=FALSE,"Yes","No")</f>
        <v>No</v>
      </c>
      <c r="N18" s="15">
        <f t="shared" si="0"/>
        <v>14240</v>
      </c>
      <c r="O18" s="14" t="str">
        <f t="shared" si="1"/>
        <v>Adult</v>
      </c>
    </row>
    <row r="19" spans="1:15" x14ac:dyDescent="0.25">
      <c r="A19" s="22" t="s">
        <v>65</v>
      </c>
      <c r="B19" s="22" t="s">
        <v>66</v>
      </c>
      <c r="C19" s="22">
        <v>56</v>
      </c>
      <c r="D19" s="22" t="s">
        <v>27</v>
      </c>
      <c r="E19" s="22" t="s">
        <v>31</v>
      </c>
      <c r="F19" s="23">
        <v>45213</v>
      </c>
      <c r="G19" s="23">
        <v>45649</v>
      </c>
      <c r="H19" s="22">
        <v>2500</v>
      </c>
      <c r="I19" s="24">
        <v>13</v>
      </c>
      <c r="J19" s="22" t="s">
        <v>67</v>
      </c>
      <c r="K19" s="14"/>
      <c r="L19" s="15">
        <f>(G19-F19)/30</f>
        <v>14.533333333333333</v>
      </c>
      <c r="M19" s="14" t="str">
        <f>IF(ISBLANK(K19)=FALSE,"Yes","No")</f>
        <v>No</v>
      </c>
      <c r="N19" s="15">
        <f t="shared" si="0"/>
        <v>36333.333333333336</v>
      </c>
      <c r="O19" s="14" t="str">
        <f t="shared" si="1"/>
        <v>Senior</v>
      </c>
    </row>
    <row r="20" spans="1:15" x14ac:dyDescent="0.25">
      <c r="A20" s="22" t="s">
        <v>68</v>
      </c>
      <c r="B20" s="22" t="s">
        <v>69</v>
      </c>
      <c r="C20" s="22">
        <v>27</v>
      </c>
      <c r="D20" s="22" t="s">
        <v>27</v>
      </c>
      <c r="E20" s="22" t="s">
        <v>13</v>
      </c>
      <c r="F20" s="23">
        <v>45354</v>
      </c>
      <c r="G20" s="23">
        <v>45664</v>
      </c>
      <c r="H20" s="22">
        <v>800</v>
      </c>
      <c r="I20" s="24">
        <v>26</v>
      </c>
      <c r="J20" s="22" t="s">
        <v>35</v>
      </c>
      <c r="K20" s="14"/>
      <c r="L20" s="15">
        <f>(G20-F20)/30</f>
        <v>10.333333333333334</v>
      </c>
      <c r="M20" s="14" t="str">
        <f>IF(ISBLANK(K20)=FALSE,"Yes","No")</f>
        <v>No</v>
      </c>
      <c r="N20" s="15">
        <f t="shared" si="0"/>
        <v>8266.6666666666679</v>
      </c>
      <c r="O20" s="14" t="str">
        <f t="shared" si="1"/>
        <v>Youth</v>
      </c>
    </row>
    <row r="21" spans="1:15" ht="15.75" customHeight="1" x14ac:dyDescent="0.25">
      <c r="A21" s="22" t="s">
        <v>70</v>
      </c>
      <c r="B21" s="22" t="s">
        <v>71</v>
      </c>
      <c r="C21" s="22">
        <v>28</v>
      </c>
      <c r="D21" s="22" t="s">
        <v>12</v>
      </c>
      <c r="E21" s="22" t="s">
        <v>31</v>
      </c>
      <c r="F21" s="23">
        <v>45417</v>
      </c>
      <c r="G21" s="23">
        <v>45608</v>
      </c>
      <c r="H21" s="22">
        <v>2500</v>
      </c>
      <c r="I21" s="24">
        <v>21</v>
      </c>
      <c r="J21" s="22" t="s">
        <v>35</v>
      </c>
      <c r="K21" s="22" t="s">
        <v>72</v>
      </c>
      <c r="L21" s="15">
        <f>(G21-F21)/30</f>
        <v>6.3666666666666663</v>
      </c>
      <c r="M21" s="14" t="str">
        <f>IF(ISBLANK(K21)=FALSE,"Yes","No")</f>
        <v>Yes</v>
      </c>
      <c r="N21" s="15">
        <f t="shared" si="0"/>
        <v>15916.666666666666</v>
      </c>
      <c r="O21" s="14" t="str">
        <f t="shared" si="1"/>
        <v>Youth</v>
      </c>
    </row>
    <row r="22" spans="1:15" ht="15.75" customHeight="1" x14ac:dyDescent="0.25">
      <c r="A22" s="22" t="s">
        <v>73</v>
      </c>
      <c r="B22" s="22" t="s">
        <v>74</v>
      </c>
      <c r="C22" s="22">
        <v>57</v>
      </c>
      <c r="D22" s="22" t="s">
        <v>27</v>
      </c>
      <c r="E22" s="22" t="s">
        <v>41</v>
      </c>
      <c r="F22" s="23">
        <v>45146</v>
      </c>
      <c r="G22" s="23">
        <v>45674</v>
      </c>
      <c r="H22" s="22">
        <v>1800</v>
      </c>
      <c r="I22" s="24">
        <v>19</v>
      </c>
      <c r="J22" s="22" t="s">
        <v>35</v>
      </c>
      <c r="K22" s="14"/>
      <c r="L22" s="15">
        <f>(G22-F22)/30</f>
        <v>17.600000000000001</v>
      </c>
      <c r="M22" s="14" t="str">
        <f>IF(ISBLANK(K22)=FALSE,"Yes","No")</f>
        <v>No</v>
      </c>
      <c r="N22" s="15">
        <f t="shared" si="0"/>
        <v>31680.000000000004</v>
      </c>
      <c r="O22" s="14" t="str">
        <f t="shared" si="1"/>
        <v>Senior</v>
      </c>
    </row>
    <row r="23" spans="1:15" ht="15.75" customHeight="1" x14ac:dyDescent="0.25">
      <c r="A23" s="22" t="s">
        <v>75</v>
      </c>
      <c r="B23" s="22" t="s">
        <v>76</v>
      </c>
      <c r="C23" s="22">
        <v>26</v>
      </c>
      <c r="D23" s="22" t="s">
        <v>27</v>
      </c>
      <c r="E23" s="22" t="s">
        <v>41</v>
      </c>
      <c r="F23" s="23">
        <v>45320</v>
      </c>
      <c r="G23" s="23">
        <v>45616</v>
      </c>
      <c r="H23" s="22">
        <v>1800</v>
      </c>
      <c r="I23" s="24">
        <v>5</v>
      </c>
      <c r="J23" s="22" t="s">
        <v>14</v>
      </c>
      <c r="K23" s="14"/>
      <c r="L23" s="15">
        <f>(G23-F23)/30</f>
        <v>9.8666666666666671</v>
      </c>
      <c r="M23" s="14" t="str">
        <f>IF(ISBLANK(K23)=FALSE,"Yes","No")</f>
        <v>No</v>
      </c>
      <c r="N23" s="15">
        <f t="shared" si="0"/>
        <v>17760</v>
      </c>
      <c r="O23" s="14" t="str">
        <f t="shared" si="1"/>
        <v>Youth</v>
      </c>
    </row>
    <row r="24" spans="1:15" ht="15.75" customHeight="1" x14ac:dyDescent="0.25">
      <c r="A24" s="22" t="s">
        <v>77</v>
      </c>
      <c r="B24" s="22" t="s">
        <v>78</v>
      </c>
      <c r="C24" s="22">
        <v>48</v>
      </c>
      <c r="D24" s="22" t="s">
        <v>12</v>
      </c>
      <c r="E24" s="22" t="s">
        <v>41</v>
      </c>
      <c r="F24" s="23">
        <v>45451</v>
      </c>
      <c r="G24" s="23">
        <v>45455</v>
      </c>
      <c r="H24" s="22">
        <v>1800</v>
      </c>
      <c r="I24" s="24">
        <v>18</v>
      </c>
      <c r="J24" s="22" t="s">
        <v>67</v>
      </c>
      <c r="K24" s="14"/>
      <c r="L24" s="15">
        <f>(G24-F24)/30</f>
        <v>0.13333333333333333</v>
      </c>
      <c r="M24" s="14" t="str">
        <f>IF(ISBLANK(K24)=FALSE,"Yes","No")</f>
        <v>No</v>
      </c>
      <c r="N24" s="15">
        <f t="shared" si="0"/>
        <v>240</v>
      </c>
      <c r="O24" s="14" t="str">
        <f t="shared" si="1"/>
        <v>Senior</v>
      </c>
    </row>
    <row r="25" spans="1:15" ht="15.75" customHeight="1" x14ac:dyDescent="0.25">
      <c r="A25" s="22" t="s">
        <v>79</v>
      </c>
      <c r="B25" s="22" t="s">
        <v>80</v>
      </c>
      <c r="C25" s="22">
        <v>25</v>
      </c>
      <c r="D25" s="22" t="s">
        <v>27</v>
      </c>
      <c r="E25" s="22" t="s">
        <v>22</v>
      </c>
      <c r="F25" s="23">
        <v>45439</v>
      </c>
      <c r="G25" s="23">
        <v>45730</v>
      </c>
      <c r="H25" s="22">
        <v>1200</v>
      </c>
      <c r="I25" s="24">
        <v>6</v>
      </c>
      <c r="J25" s="22" t="s">
        <v>14</v>
      </c>
      <c r="K25" s="14"/>
      <c r="L25" s="15">
        <f>(G25-F25)/30</f>
        <v>9.6999999999999993</v>
      </c>
      <c r="M25" s="14" t="str">
        <f>IF(ISBLANK(K25)=FALSE,"Yes","No")</f>
        <v>No</v>
      </c>
      <c r="N25" s="15">
        <f t="shared" si="0"/>
        <v>11640</v>
      </c>
      <c r="O25" s="14" t="str">
        <f t="shared" si="1"/>
        <v>Youth</v>
      </c>
    </row>
    <row r="26" spans="1:15" ht="15.75" customHeight="1" x14ac:dyDescent="0.25">
      <c r="A26" s="22" t="s">
        <v>81</v>
      </c>
      <c r="B26" s="22" t="s">
        <v>82</v>
      </c>
      <c r="C26" s="22">
        <v>53</v>
      </c>
      <c r="D26" s="22" t="s">
        <v>12</v>
      </c>
      <c r="E26" s="22" t="s">
        <v>41</v>
      </c>
      <c r="F26" s="23">
        <v>45286</v>
      </c>
      <c r="G26" s="23">
        <v>45372</v>
      </c>
      <c r="H26" s="22">
        <v>1800</v>
      </c>
      <c r="I26" s="24">
        <v>17</v>
      </c>
      <c r="J26" s="22" t="s">
        <v>35</v>
      </c>
      <c r="K26" s="22" t="s">
        <v>83</v>
      </c>
      <c r="L26" s="15">
        <f>(G26-F26)/30</f>
        <v>2.8666666666666667</v>
      </c>
      <c r="M26" s="14" t="str">
        <f>IF(ISBLANK(K26)=FALSE,"Yes","No")</f>
        <v>Yes</v>
      </c>
      <c r="N26" s="15">
        <f t="shared" si="0"/>
        <v>5160</v>
      </c>
      <c r="O26" s="14" t="str">
        <f t="shared" si="1"/>
        <v>Senior</v>
      </c>
    </row>
    <row r="27" spans="1:15" ht="15.75" customHeight="1" x14ac:dyDescent="0.25">
      <c r="A27" s="22" t="s">
        <v>84</v>
      </c>
      <c r="B27" s="22" t="s">
        <v>85</v>
      </c>
      <c r="C27" s="22">
        <v>42</v>
      </c>
      <c r="D27" s="22" t="s">
        <v>27</v>
      </c>
      <c r="E27" s="22" t="s">
        <v>22</v>
      </c>
      <c r="F27" s="23">
        <v>45702</v>
      </c>
      <c r="G27" s="23">
        <v>45727</v>
      </c>
      <c r="H27" s="22">
        <v>1200</v>
      </c>
      <c r="I27" s="24">
        <v>3</v>
      </c>
      <c r="J27" s="22" t="s">
        <v>67</v>
      </c>
      <c r="K27" s="14"/>
      <c r="L27" s="15">
        <f>(G27-F27)/30</f>
        <v>0.83333333333333337</v>
      </c>
      <c r="M27" s="14" t="str">
        <f>IF(ISBLANK(K27)=FALSE,"Yes","No")</f>
        <v>No</v>
      </c>
      <c r="N27" s="15">
        <f t="shared" si="0"/>
        <v>1000</v>
      </c>
      <c r="O27" s="14" t="str">
        <f t="shared" si="1"/>
        <v>Adult</v>
      </c>
    </row>
    <row r="28" spans="1:15" ht="15.75" customHeight="1" x14ac:dyDescent="0.25">
      <c r="A28" s="22" t="s">
        <v>86</v>
      </c>
      <c r="B28" s="22" t="s">
        <v>87</v>
      </c>
      <c r="C28" s="22">
        <v>24</v>
      </c>
      <c r="D28" s="22" t="s">
        <v>12</v>
      </c>
      <c r="E28" s="22" t="s">
        <v>31</v>
      </c>
      <c r="F28" s="23">
        <v>45698</v>
      </c>
      <c r="G28" s="23">
        <v>45726</v>
      </c>
      <c r="H28" s="22">
        <v>2500</v>
      </c>
      <c r="I28" s="24">
        <v>28</v>
      </c>
      <c r="J28" s="22" t="s">
        <v>35</v>
      </c>
      <c r="K28" s="14"/>
      <c r="L28" s="15">
        <f>(G28-F28)/30</f>
        <v>0.93333333333333335</v>
      </c>
      <c r="M28" s="14" t="str">
        <f>IF(ISBLANK(K28)=FALSE,"Yes","No")</f>
        <v>No</v>
      </c>
      <c r="N28" s="15">
        <f t="shared" si="0"/>
        <v>2333.3333333333335</v>
      </c>
      <c r="O28" s="14" t="str">
        <f t="shared" si="1"/>
        <v>Youth</v>
      </c>
    </row>
    <row r="29" spans="1:15" ht="15.75" customHeight="1" x14ac:dyDescent="0.25">
      <c r="A29" s="22" t="s">
        <v>88</v>
      </c>
      <c r="B29" s="22" t="s">
        <v>89</v>
      </c>
      <c r="C29" s="22">
        <v>53</v>
      </c>
      <c r="D29" s="22" t="s">
        <v>12</v>
      </c>
      <c r="E29" s="22" t="s">
        <v>22</v>
      </c>
      <c r="F29" s="23">
        <v>45614</v>
      </c>
      <c r="G29" s="23">
        <v>45645</v>
      </c>
      <c r="H29" s="22">
        <v>1200</v>
      </c>
      <c r="I29" s="24">
        <v>23</v>
      </c>
      <c r="J29" s="22" t="s">
        <v>18</v>
      </c>
      <c r="K29" s="14"/>
      <c r="L29" s="15">
        <f>(G29-F29)/30</f>
        <v>1.0333333333333334</v>
      </c>
      <c r="M29" s="14" t="str">
        <f>IF(ISBLANK(K29)=FALSE,"Yes","No")</f>
        <v>No</v>
      </c>
      <c r="N29" s="15">
        <f t="shared" si="0"/>
        <v>1240.0000000000002</v>
      </c>
      <c r="O29" s="14" t="str">
        <f t="shared" si="1"/>
        <v>Senior</v>
      </c>
    </row>
    <row r="30" spans="1:15" ht="15.75" customHeight="1" x14ac:dyDescent="0.25">
      <c r="A30" s="22" t="s">
        <v>90</v>
      </c>
      <c r="B30" s="22" t="s">
        <v>91</v>
      </c>
      <c r="C30" s="22">
        <v>29</v>
      </c>
      <c r="D30" s="22" t="s">
        <v>27</v>
      </c>
      <c r="E30" s="22" t="s">
        <v>31</v>
      </c>
      <c r="F30" s="23">
        <v>45401</v>
      </c>
      <c r="G30" s="23">
        <v>45408</v>
      </c>
      <c r="H30" s="22">
        <v>2500</v>
      </c>
      <c r="I30" s="24">
        <v>8</v>
      </c>
      <c r="J30" s="22" t="s">
        <v>23</v>
      </c>
      <c r="K30" s="14"/>
      <c r="L30" s="15">
        <f>(G30-F30)/30</f>
        <v>0.23333333333333334</v>
      </c>
      <c r="M30" s="14" t="str">
        <f>IF(ISBLANK(K30)=FALSE,"Yes","No")</f>
        <v>No</v>
      </c>
      <c r="N30" s="15">
        <f t="shared" si="0"/>
        <v>583.33333333333337</v>
      </c>
      <c r="O30" s="14" t="str">
        <f t="shared" si="1"/>
        <v>Youth</v>
      </c>
    </row>
    <row r="31" spans="1:15" ht="15.75" customHeight="1" x14ac:dyDescent="0.25">
      <c r="A31" s="22" t="s">
        <v>92</v>
      </c>
      <c r="B31" s="22" t="s">
        <v>93</v>
      </c>
      <c r="C31" s="22">
        <v>31</v>
      </c>
      <c r="D31" s="22" t="s">
        <v>27</v>
      </c>
      <c r="E31" s="22" t="s">
        <v>31</v>
      </c>
      <c r="F31" s="23">
        <v>45667</v>
      </c>
      <c r="G31" s="23">
        <v>45745</v>
      </c>
      <c r="H31" s="22">
        <v>2500</v>
      </c>
      <c r="I31" s="24">
        <v>23</v>
      </c>
      <c r="J31" s="22" t="s">
        <v>42</v>
      </c>
      <c r="K31" s="22" t="s">
        <v>94</v>
      </c>
      <c r="L31" s="15">
        <f>(G31-F31)/30</f>
        <v>2.6</v>
      </c>
      <c r="M31" s="14" t="str">
        <f>IF(ISBLANK(K31)=FALSE,"Yes","No")</f>
        <v>Yes</v>
      </c>
      <c r="N31" s="15">
        <f t="shared" si="0"/>
        <v>6500</v>
      </c>
      <c r="O31" s="14" t="str">
        <f t="shared" si="1"/>
        <v>Adult</v>
      </c>
    </row>
    <row r="32" spans="1:15" ht="15.75" customHeight="1" x14ac:dyDescent="0.25">
      <c r="A32" s="22" t="s">
        <v>95</v>
      </c>
      <c r="B32" s="22" t="s">
        <v>96</v>
      </c>
      <c r="C32" s="22">
        <v>52</v>
      </c>
      <c r="D32" s="22" t="s">
        <v>27</v>
      </c>
      <c r="E32" s="22" t="s">
        <v>13</v>
      </c>
      <c r="F32" s="23">
        <v>45088</v>
      </c>
      <c r="G32" s="23">
        <v>45656</v>
      </c>
      <c r="H32" s="22">
        <v>800</v>
      </c>
      <c r="I32" s="24">
        <v>9</v>
      </c>
      <c r="J32" s="22" t="s">
        <v>67</v>
      </c>
      <c r="K32" s="22" t="s">
        <v>97</v>
      </c>
      <c r="L32" s="15">
        <f>(G32-F32)/30</f>
        <v>18.933333333333334</v>
      </c>
      <c r="M32" s="14" t="str">
        <f>IF(ISBLANK(K32)=FALSE,"Yes","No")</f>
        <v>Yes</v>
      </c>
      <c r="N32" s="15">
        <f t="shared" si="0"/>
        <v>15146.666666666666</v>
      </c>
      <c r="O32" s="14" t="str">
        <f t="shared" si="1"/>
        <v>Senior</v>
      </c>
    </row>
    <row r="33" spans="1:15" ht="15.75" customHeight="1" x14ac:dyDescent="0.25">
      <c r="A33" s="22" t="s">
        <v>98</v>
      </c>
      <c r="B33" s="22" t="s">
        <v>99</v>
      </c>
      <c r="C33" s="22">
        <v>20</v>
      </c>
      <c r="D33" s="22" t="s">
        <v>12</v>
      </c>
      <c r="E33" s="22" t="s">
        <v>22</v>
      </c>
      <c r="F33" s="23">
        <v>45391</v>
      </c>
      <c r="G33" s="23">
        <v>45604</v>
      </c>
      <c r="H33" s="22">
        <v>1200</v>
      </c>
      <c r="I33" s="24">
        <v>2</v>
      </c>
      <c r="J33" s="22" t="s">
        <v>35</v>
      </c>
      <c r="K33" s="14"/>
      <c r="L33" s="15">
        <f>(G33-F33)/30</f>
        <v>7.1</v>
      </c>
      <c r="M33" s="14" t="str">
        <f>IF(ISBLANK(K33)=FALSE,"Yes","No")</f>
        <v>No</v>
      </c>
      <c r="N33" s="15">
        <f t="shared" si="0"/>
        <v>8520</v>
      </c>
      <c r="O33" s="14" t="str">
        <f t="shared" si="1"/>
        <v>Youth</v>
      </c>
    </row>
    <row r="34" spans="1:15" ht="15.75" customHeight="1" x14ac:dyDescent="0.25">
      <c r="A34" s="22" t="s">
        <v>100</v>
      </c>
      <c r="B34" s="22" t="s">
        <v>101</v>
      </c>
      <c r="C34" s="22">
        <v>22</v>
      </c>
      <c r="D34" s="22" t="s">
        <v>12</v>
      </c>
      <c r="E34" s="22" t="s">
        <v>13</v>
      </c>
      <c r="F34" s="23">
        <v>45699</v>
      </c>
      <c r="G34" s="23">
        <v>45740</v>
      </c>
      <c r="H34" s="22">
        <v>800</v>
      </c>
      <c r="I34" s="24">
        <v>30</v>
      </c>
      <c r="J34" s="22" t="s">
        <v>35</v>
      </c>
      <c r="K34" s="14"/>
      <c r="L34" s="15">
        <f>(G34-F34)/30</f>
        <v>1.3666666666666667</v>
      </c>
      <c r="M34" s="14" t="str">
        <f>IF(ISBLANK(K34)=FALSE,"Yes","No")</f>
        <v>No</v>
      </c>
      <c r="N34" s="15">
        <f t="shared" si="0"/>
        <v>1093.3333333333333</v>
      </c>
      <c r="O34" s="14" t="str">
        <f t="shared" si="1"/>
        <v>Youth</v>
      </c>
    </row>
    <row r="35" spans="1:15" ht="15.75" customHeight="1" x14ac:dyDescent="0.25">
      <c r="A35" s="22" t="s">
        <v>102</v>
      </c>
      <c r="B35" s="22" t="s">
        <v>103</v>
      </c>
      <c r="C35" s="22">
        <v>23</v>
      </c>
      <c r="D35" s="22" t="s">
        <v>12</v>
      </c>
      <c r="E35" s="22" t="s">
        <v>41</v>
      </c>
      <c r="F35" s="23">
        <v>45588</v>
      </c>
      <c r="G35" s="23">
        <v>45721</v>
      </c>
      <c r="H35" s="22">
        <v>1800</v>
      </c>
      <c r="I35" s="24">
        <v>23</v>
      </c>
      <c r="J35" s="22" t="s">
        <v>18</v>
      </c>
      <c r="K35" s="22" t="s">
        <v>104</v>
      </c>
      <c r="L35" s="15">
        <f>(G35-F35)/30</f>
        <v>4.4333333333333336</v>
      </c>
      <c r="M35" s="14" t="str">
        <f>IF(ISBLANK(K35)=FALSE,"Yes","No")</f>
        <v>Yes</v>
      </c>
      <c r="N35" s="15">
        <f t="shared" si="0"/>
        <v>7980</v>
      </c>
      <c r="O35" s="14" t="str">
        <f t="shared" si="1"/>
        <v>Youth</v>
      </c>
    </row>
    <row r="36" spans="1:15" ht="15.75" customHeight="1" x14ac:dyDescent="0.25">
      <c r="A36" s="22" t="s">
        <v>105</v>
      </c>
      <c r="B36" s="22" t="s">
        <v>106</v>
      </c>
      <c r="C36" s="22">
        <v>27</v>
      </c>
      <c r="D36" s="22" t="s">
        <v>27</v>
      </c>
      <c r="E36" s="22" t="s">
        <v>22</v>
      </c>
      <c r="F36" s="23">
        <v>45312</v>
      </c>
      <c r="G36" s="23">
        <v>45652</v>
      </c>
      <c r="H36" s="22">
        <v>1200</v>
      </c>
      <c r="I36" s="24">
        <v>27</v>
      </c>
      <c r="J36" s="22" t="s">
        <v>18</v>
      </c>
      <c r="K36" s="14"/>
      <c r="L36" s="15">
        <f>(G36-F36)/30</f>
        <v>11.333333333333334</v>
      </c>
      <c r="M36" s="14" t="str">
        <f>IF(ISBLANK(K36)=FALSE,"Yes","No")</f>
        <v>No</v>
      </c>
      <c r="N36" s="15">
        <f>H36*L36</f>
        <v>13600</v>
      </c>
      <c r="O36" s="14" t="str">
        <f t="shared" si="1"/>
        <v>Youth</v>
      </c>
    </row>
    <row r="37" spans="1:15" ht="15.75" customHeight="1" x14ac:dyDescent="0.25"/>
    <row r="38" spans="1:15" ht="15.75" customHeight="1" x14ac:dyDescent="0.25"/>
    <row r="39" spans="1:15" ht="15.75" customHeight="1" x14ac:dyDescent="0.25"/>
    <row r="40" spans="1:15" ht="15.75" customHeight="1" x14ac:dyDescent="0.25"/>
    <row r="41" spans="1:15" ht="15.75" customHeight="1" x14ac:dyDescent="0.25"/>
    <row r="42" spans="1:15" ht="15.75" customHeight="1" x14ac:dyDescent="0.25"/>
    <row r="43" spans="1:15" ht="15.75" customHeight="1" x14ac:dyDescent="0.25"/>
    <row r="44" spans="1:15" ht="15.75" customHeight="1" x14ac:dyDescent="0.25"/>
    <row r="45" spans="1:15" ht="15.75" customHeight="1" x14ac:dyDescent="0.25"/>
    <row r="46" spans="1:15" ht="15.75" customHeight="1" x14ac:dyDescent="0.25"/>
    <row r="47" spans="1:15" ht="15.75" customHeight="1" x14ac:dyDescent="0.25"/>
    <row r="48" spans="1: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O36">
    <cfRule type="expression" dxfId="76" priority="1">
      <formula>AND($I2&lt;8, $L2&gt;=6)</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BB640-213D-44A8-9B43-25FAC03B86F3}">
  <dimension ref="A1:R69"/>
  <sheetViews>
    <sheetView showGridLines="0" zoomScaleNormal="100" workbookViewId="0">
      <selection activeCell="W6" sqref="W6"/>
    </sheetView>
  </sheetViews>
  <sheetFormatPr defaultRowHeight="15" x14ac:dyDescent="0.25"/>
  <cols>
    <col min="1" max="1" width="15.5703125" bestFit="1" customWidth="1"/>
    <col min="2" max="2" width="22.5703125" bestFit="1" customWidth="1"/>
    <col min="3" max="3" width="13.42578125" bestFit="1" customWidth="1"/>
    <col min="4" max="4" width="21.140625" bestFit="1" customWidth="1"/>
    <col min="5" max="5" width="22.42578125" bestFit="1" customWidth="1"/>
    <col min="6" max="6" width="19.85546875" customWidth="1"/>
    <col min="7" max="7" width="7" customWidth="1"/>
  </cols>
  <sheetData>
    <row r="1" spans="1:18" x14ac:dyDescent="0.25">
      <c r="A1" s="17" t="s">
        <v>128</v>
      </c>
      <c r="B1" s="17"/>
      <c r="C1" s="17"/>
      <c r="D1" s="17"/>
      <c r="E1" s="17"/>
      <c r="F1" s="17"/>
      <c r="G1" s="17"/>
      <c r="H1" s="17"/>
      <c r="I1" s="17"/>
      <c r="J1" s="17"/>
      <c r="K1" s="17"/>
      <c r="L1" s="17"/>
      <c r="M1" s="17"/>
      <c r="N1" s="17"/>
      <c r="O1" s="17"/>
      <c r="P1" s="17"/>
      <c r="Q1" s="17"/>
      <c r="R1" s="17"/>
    </row>
    <row r="2" spans="1:18" x14ac:dyDescent="0.25">
      <c r="A2" s="17"/>
      <c r="B2" s="17"/>
      <c r="C2" s="17"/>
      <c r="D2" s="17"/>
      <c r="E2" s="17"/>
      <c r="F2" s="17"/>
      <c r="G2" s="17"/>
      <c r="H2" s="17"/>
      <c r="I2" s="17"/>
      <c r="J2" s="17"/>
      <c r="K2" s="17"/>
      <c r="L2" s="17"/>
      <c r="M2" s="17"/>
      <c r="N2" s="17"/>
      <c r="O2" s="17"/>
      <c r="P2" s="17"/>
      <c r="Q2" s="17"/>
      <c r="R2" s="17"/>
    </row>
    <row r="3" spans="1:18" x14ac:dyDescent="0.25">
      <c r="A3" s="17"/>
      <c r="B3" s="17"/>
      <c r="C3" s="17"/>
      <c r="D3" s="17"/>
      <c r="E3" s="17"/>
      <c r="F3" s="17"/>
      <c r="G3" s="17"/>
      <c r="H3" s="17"/>
      <c r="I3" s="17"/>
      <c r="J3" s="17"/>
      <c r="K3" s="17"/>
      <c r="L3" s="17"/>
      <c r="M3" s="17"/>
      <c r="N3" s="17"/>
      <c r="O3" s="17"/>
      <c r="P3" s="17"/>
      <c r="Q3" s="17"/>
      <c r="R3" s="17"/>
    </row>
    <row r="4" spans="1:18" x14ac:dyDescent="0.25">
      <c r="A4" s="1"/>
      <c r="B4" s="1"/>
      <c r="C4" s="1"/>
      <c r="D4" s="1"/>
      <c r="E4" s="1"/>
      <c r="F4" s="1"/>
      <c r="G4" s="1"/>
      <c r="H4" s="1"/>
      <c r="I4" s="1"/>
      <c r="J4" s="1"/>
      <c r="K4" s="1"/>
      <c r="L4" s="1"/>
      <c r="M4" s="1"/>
      <c r="N4" s="1"/>
      <c r="O4" s="1"/>
      <c r="P4" s="1"/>
      <c r="Q4" s="1"/>
    </row>
    <row r="5" spans="1:18" x14ac:dyDescent="0.25">
      <c r="A5" s="1"/>
      <c r="B5" s="1"/>
      <c r="C5" s="1"/>
      <c r="D5" s="1"/>
      <c r="E5" s="1"/>
      <c r="F5" s="1"/>
      <c r="G5" s="1"/>
      <c r="H5" s="1"/>
      <c r="I5" s="1"/>
      <c r="J5" s="1"/>
      <c r="K5" s="1"/>
      <c r="L5" s="1"/>
      <c r="M5" s="1"/>
      <c r="N5" s="1"/>
      <c r="O5" s="1"/>
      <c r="P5" s="1"/>
      <c r="Q5" s="1"/>
    </row>
    <row r="6" spans="1:18" x14ac:dyDescent="0.25">
      <c r="A6" s="1"/>
      <c r="B6" s="1"/>
      <c r="C6" s="1"/>
      <c r="D6" s="1"/>
      <c r="E6" s="1"/>
      <c r="F6" s="1"/>
      <c r="G6" s="1"/>
      <c r="H6" s="1"/>
      <c r="I6" s="1"/>
      <c r="J6" s="1"/>
      <c r="K6" s="1"/>
      <c r="L6" s="1"/>
      <c r="M6" s="1"/>
      <c r="N6" s="1"/>
      <c r="O6" s="1"/>
      <c r="P6" s="1"/>
      <c r="Q6" s="1"/>
    </row>
    <row r="10" spans="1:18" x14ac:dyDescent="0.25">
      <c r="A10" s="14"/>
      <c r="B10" s="14"/>
      <c r="C10" s="14"/>
      <c r="D10" s="13" t="s">
        <v>119</v>
      </c>
      <c r="E10" s="14"/>
      <c r="F10" s="14"/>
      <c r="G10" s="14"/>
    </row>
    <row r="11" spans="1:18" x14ac:dyDescent="0.25">
      <c r="A11" s="13" t="s">
        <v>8</v>
      </c>
      <c r="B11" s="13" t="s">
        <v>3</v>
      </c>
      <c r="C11" s="13" t="s">
        <v>108</v>
      </c>
      <c r="D11" s="14" t="s">
        <v>118</v>
      </c>
      <c r="E11" s="14" t="s">
        <v>126</v>
      </c>
      <c r="F11" s="14" t="s">
        <v>117</v>
      </c>
      <c r="G11" s="16"/>
    </row>
    <row r="12" spans="1:18" x14ac:dyDescent="0.25">
      <c r="A12" s="14" t="s">
        <v>35</v>
      </c>
      <c r="B12" s="14" t="s">
        <v>13</v>
      </c>
      <c r="C12" s="14" t="s">
        <v>110</v>
      </c>
      <c r="D12" s="15">
        <v>9360.0000000000018</v>
      </c>
      <c r="E12" s="15">
        <v>4680.0000000000009</v>
      </c>
      <c r="F12" s="16">
        <v>2</v>
      </c>
      <c r="G12" s="16"/>
    </row>
    <row r="13" spans="1:18" x14ac:dyDescent="0.25">
      <c r="A13" s="14"/>
      <c r="B13" s="14"/>
      <c r="C13" s="14" t="s">
        <v>111</v>
      </c>
      <c r="D13" s="15">
        <v>2000</v>
      </c>
      <c r="E13" s="15">
        <v>2000</v>
      </c>
      <c r="F13" s="16">
        <v>1</v>
      </c>
      <c r="G13" s="16"/>
    </row>
    <row r="14" spans="1:18" x14ac:dyDescent="0.25">
      <c r="A14" s="14"/>
      <c r="B14" s="14" t="s">
        <v>31</v>
      </c>
      <c r="C14" s="14" t="s">
        <v>110</v>
      </c>
      <c r="D14" s="15">
        <v>2333.3333333333335</v>
      </c>
      <c r="E14" s="15">
        <v>2333.3333333333335</v>
      </c>
      <c r="F14" s="16">
        <v>1</v>
      </c>
      <c r="G14" s="16"/>
    </row>
    <row r="15" spans="1:18" x14ac:dyDescent="0.25">
      <c r="A15" s="14"/>
      <c r="B15" s="14"/>
      <c r="C15" s="14" t="s">
        <v>111</v>
      </c>
      <c r="D15" s="15">
        <v>15916.666666666666</v>
      </c>
      <c r="E15" s="15">
        <v>15916.666666666666</v>
      </c>
      <c r="F15" s="16">
        <v>1</v>
      </c>
      <c r="G15" s="16"/>
    </row>
    <row r="16" spans="1:18" x14ac:dyDescent="0.25">
      <c r="A16" s="14"/>
      <c r="B16" s="14" t="s">
        <v>41</v>
      </c>
      <c r="C16" s="14" t="s">
        <v>110</v>
      </c>
      <c r="D16" s="15">
        <v>31680.000000000004</v>
      </c>
      <c r="E16" s="15">
        <v>31680.000000000004</v>
      </c>
      <c r="F16" s="16">
        <v>1</v>
      </c>
      <c r="G16" s="16"/>
    </row>
    <row r="17" spans="1:7" x14ac:dyDescent="0.25">
      <c r="A17" s="14"/>
      <c r="B17" s="14"/>
      <c r="C17" s="14" t="s">
        <v>111</v>
      </c>
      <c r="D17" s="15">
        <v>5160</v>
      </c>
      <c r="E17" s="15">
        <v>5160</v>
      </c>
      <c r="F17" s="16">
        <v>1</v>
      </c>
      <c r="G17" s="16"/>
    </row>
    <row r="18" spans="1:7" x14ac:dyDescent="0.25">
      <c r="A18" s="14"/>
      <c r="B18" s="14" t="s">
        <v>22</v>
      </c>
      <c r="C18" s="14" t="s">
        <v>110</v>
      </c>
      <c r="D18" s="15">
        <v>15600</v>
      </c>
      <c r="E18" s="15">
        <v>7800</v>
      </c>
      <c r="F18" s="16">
        <v>2</v>
      </c>
      <c r="G18" s="16"/>
    </row>
    <row r="19" spans="1:7" x14ac:dyDescent="0.25">
      <c r="A19" s="14"/>
      <c r="B19" s="14"/>
      <c r="C19" s="14" t="s">
        <v>111</v>
      </c>
      <c r="D19" s="15">
        <v>3120</v>
      </c>
      <c r="E19" s="15">
        <v>3120</v>
      </c>
      <c r="F19" s="16">
        <v>1</v>
      </c>
      <c r="G19" s="16"/>
    </row>
    <row r="20" spans="1:7" x14ac:dyDescent="0.25">
      <c r="A20" s="14" t="s">
        <v>120</v>
      </c>
      <c r="B20" s="14"/>
      <c r="C20" s="14"/>
      <c r="D20" s="15">
        <v>85170</v>
      </c>
      <c r="E20" s="15">
        <v>8517</v>
      </c>
      <c r="F20" s="16">
        <v>10</v>
      </c>
      <c r="G20" s="16"/>
    </row>
    <row r="21" spans="1:7" x14ac:dyDescent="0.25">
      <c r="A21" s="14" t="s">
        <v>14</v>
      </c>
      <c r="B21" s="14" t="s">
        <v>13</v>
      </c>
      <c r="C21" s="14" t="s">
        <v>111</v>
      </c>
      <c r="D21" s="15">
        <v>5066.6666666666661</v>
      </c>
      <c r="E21" s="15">
        <v>5066.6666666666661</v>
      </c>
      <c r="F21" s="16">
        <v>1</v>
      </c>
      <c r="G21" s="16"/>
    </row>
    <row r="22" spans="1:7" x14ac:dyDescent="0.25">
      <c r="A22" s="14"/>
      <c r="B22" s="14" t="s">
        <v>31</v>
      </c>
      <c r="C22" s="14" t="s">
        <v>111</v>
      </c>
      <c r="D22" s="15">
        <v>17916.666666666668</v>
      </c>
      <c r="E22" s="15">
        <v>17916.666666666668</v>
      </c>
      <c r="F22" s="16">
        <v>1</v>
      </c>
      <c r="G22" s="16"/>
    </row>
    <row r="23" spans="1:7" x14ac:dyDescent="0.25">
      <c r="A23" s="14"/>
      <c r="B23" s="14" t="s">
        <v>41</v>
      </c>
      <c r="C23" s="14" t="s">
        <v>110</v>
      </c>
      <c r="D23" s="15">
        <v>17760</v>
      </c>
      <c r="E23" s="15">
        <v>17760</v>
      </c>
      <c r="F23" s="16">
        <v>1</v>
      </c>
      <c r="G23" s="16"/>
    </row>
    <row r="24" spans="1:7" x14ac:dyDescent="0.25">
      <c r="A24" s="14"/>
      <c r="B24" s="14" t="s">
        <v>22</v>
      </c>
      <c r="C24" s="14" t="s">
        <v>110</v>
      </c>
      <c r="D24" s="15">
        <v>11640</v>
      </c>
      <c r="E24" s="15">
        <v>11640</v>
      </c>
      <c r="F24" s="16">
        <v>1</v>
      </c>
      <c r="G24" s="16"/>
    </row>
    <row r="25" spans="1:7" x14ac:dyDescent="0.25">
      <c r="A25" s="14"/>
      <c r="B25" s="14"/>
      <c r="C25" s="14" t="s">
        <v>111</v>
      </c>
      <c r="D25" s="15">
        <v>6480</v>
      </c>
      <c r="E25" s="15">
        <v>6480</v>
      </c>
      <c r="F25" s="16">
        <v>1</v>
      </c>
      <c r="G25" s="16"/>
    </row>
    <row r="26" spans="1:7" x14ac:dyDescent="0.25">
      <c r="A26" s="14" t="s">
        <v>121</v>
      </c>
      <c r="B26" s="14"/>
      <c r="C26" s="14"/>
      <c r="D26" s="15">
        <v>58863.333333333336</v>
      </c>
      <c r="E26" s="15">
        <v>11772.666666666668</v>
      </c>
      <c r="F26" s="16">
        <v>5</v>
      </c>
      <c r="G26" s="16"/>
    </row>
    <row r="27" spans="1:7" x14ac:dyDescent="0.25">
      <c r="A27" s="14" t="s">
        <v>67</v>
      </c>
      <c r="B27" s="14" t="s">
        <v>13</v>
      </c>
      <c r="C27" s="14" t="s">
        <v>111</v>
      </c>
      <c r="D27" s="15">
        <v>15146.666666666666</v>
      </c>
      <c r="E27" s="15">
        <v>15146.666666666666</v>
      </c>
      <c r="F27" s="16">
        <v>1</v>
      </c>
      <c r="G27" s="16"/>
    </row>
    <row r="28" spans="1:7" x14ac:dyDescent="0.25">
      <c r="A28" s="14"/>
      <c r="B28" s="14" t="s">
        <v>31</v>
      </c>
      <c r="C28" s="14" t="s">
        <v>110</v>
      </c>
      <c r="D28" s="15">
        <v>36333.333333333336</v>
      </c>
      <c r="E28" s="15">
        <v>36333.333333333336</v>
      </c>
      <c r="F28" s="16">
        <v>1</v>
      </c>
      <c r="G28" s="16"/>
    </row>
    <row r="29" spans="1:7" x14ac:dyDescent="0.25">
      <c r="A29" s="14"/>
      <c r="B29" s="14" t="s">
        <v>41</v>
      </c>
      <c r="C29" s="14" t="s">
        <v>110</v>
      </c>
      <c r="D29" s="15">
        <v>240</v>
      </c>
      <c r="E29" s="15">
        <v>240</v>
      </c>
      <c r="F29" s="16">
        <v>1</v>
      </c>
      <c r="G29" s="16"/>
    </row>
    <row r="30" spans="1:7" x14ac:dyDescent="0.25">
      <c r="A30" s="14"/>
      <c r="B30" s="14" t="s">
        <v>22</v>
      </c>
      <c r="C30" s="14" t="s">
        <v>110</v>
      </c>
      <c r="D30" s="15">
        <v>1000</v>
      </c>
      <c r="E30" s="15">
        <v>1000</v>
      </c>
      <c r="F30" s="16">
        <v>1</v>
      </c>
      <c r="G30" s="16"/>
    </row>
    <row r="31" spans="1:7" x14ac:dyDescent="0.25">
      <c r="A31" s="14" t="s">
        <v>122</v>
      </c>
      <c r="B31" s="14"/>
      <c r="C31" s="14"/>
      <c r="D31" s="15">
        <v>52720</v>
      </c>
      <c r="E31" s="15">
        <v>13180</v>
      </c>
      <c r="F31" s="16">
        <v>4</v>
      </c>
      <c r="G31" s="16"/>
    </row>
    <row r="32" spans="1:7" x14ac:dyDescent="0.25">
      <c r="A32" s="14" t="s">
        <v>42</v>
      </c>
      <c r="B32" s="14" t="s">
        <v>13</v>
      </c>
      <c r="C32" s="14" t="s">
        <v>111</v>
      </c>
      <c r="D32" s="15">
        <v>346.66666666666669</v>
      </c>
      <c r="E32" s="15">
        <v>346.66666666666669</v>
      </c>
      <c r="F32" s="16">
        <v>1</v>
      </c>
      <c r="G32" s="16"/>
    </row>
    <row r="33" spans="1:7" x14ac:dyDescent="0.25">
      <c r="A33" s="14"/>
      <c r="B33" s="14" t="s">
        <v>31</v>
      </c>
      <c r="C33" s="14" t="s">
        <v>110</v>
      </c>
      <c r="D33" s="15">
        <v>2500</v>
      </c>
      <c r="E33" s="15">
        <v>2500</v>
      </c>
      <c r="F33" s="16">
        <v>1</v>
      </c>
      <c r="G33" s="16"/>
    </row>
    <row r="34" spans="1:7" x14ac:dyDescent="0.25">
      <c r="A34" s="14"/>
      <c r="B34" s="14"/>
      <c r="C34" s="14" t="s">
        <v>111</v>
      </c>
      <c r="D34" s="15">
        <v>6500</v>
      </c>
      <c r="E34" s="15">
        <v>6500</v>
      </c>
      <c r="F34" s="16">
        <v>1</v>
      </c>
      <c r="G34" s="16"/>
    </row>
    <row r="35" spans="1:7" x14ac:dyDescent="0.25">
      <c r="A35" s="14"/>
      <c r="B35" s="14" t="s">
        <v>41</v>
      </c>
      <c r="C35" s="14" t="s">
        <v>110</v>
      </c>
      <c r="D35" s="15">
        <v>11880</v>
      </c>
      <c r="E35" s="15">
        <v>5940</v>
      </c>
      <c r="F35" s="16">
        <v>2</v>
      </c>
      <c r="G35" s="16"/>
    </row>
    <row r="36" spans="1:7" x14ac:dyDescent="0.25">
      <c r="A36" s="14"/>
      <c r="B36" s="14" t="s">
        <v>22</v>
      </c>
      <c r="C36" s="14" t="s">
        <v>111</v>
      </c>
      <c r="D36" s="15">
        <v>16560</v>
      </c>
      <c r="E36" s="15">
        <v>16560</v>
      </c>
      <c r="F36" s="16">
        <v>1</v>
      </c>
      <c r="G36" s="16"/>
    </row>
    <row r="37" spans="1:7" x14ac:dyDescent="0.25">
      <c r="A37" s="14" t="s">
        <v>123</v>
      </c>
      <c r="B37" s="14"/>
      <c r="C37" s="14"/>
      <c r="D37" s="15">
        <v>37786.666666666664</v>
      </c>
      <c r="E37" s="15">
        <v>6297.7777777777774</v>
      </c>
      <c r="F37" s="16">
        <v>6</v>
      </c>
      <c r="G37" s="16"/>
    </row>
    <row r="38" spans="1:7" x14ac:dyDescent="0.25">
      <c r="A38" s="14" t="s">
        <v>23</v>
      </c>
      <c r="B38" s="14" t="s">
        <v>13</v>
      </c>
      <c r="C38" s="14" t="s">
        <v>110</v>
      </c>
      <c r="D38" s="15">
        <v>5520</v>
      </c>
      <c r="E38" s="15">
        <v>5520</v>
      </c>
      <c r="F38" s="16">
        <v>1</v>
      </c>
      <c r="G38" s="16"/>
    </row>
    <row r="39" spans="1:7" x14ac:dyDescent="0.25">
      <c r="A39" s="14"/>
      <c r="B39" s="14" t="s">
        <v>31</v>
      </c>
      <c r="C39" s="14" t="s">
        <v>110</v>
      </c>
      <c r="D39" s="15">
        <v>583.33333333333337</v>
      </c>
      <c r="E39" s="15">
        <v>583.33333333333337</v>
      </c>
      <c r="F39" s="16">
        <v>1</v>
      </c>
      <c r="G39" s="16"/>
    </row>
    <row r="40" spans="1:7" x14ac:dyDescent="0.25">
      <c r="A40" s="14"/>
      <c r="B40" s="14" t="s">
        <v>22</v>
      </c>
      <c r="C40" s="14" t="s">
        <v>110</v>
      </c>
      <c r="D40" s="15">
        <v>14240</v>
      </c>
      <c r="E40" s="15">
        <v>14240</v>
      </c>
      <c r="F40" s="16">
        <v>1</v>
      </c>
      <c r="G40" s="16"/>
    </row>
    <row r="41" spans="1:7" x14ac:dyDescent="0.25">
      <c r="A41" s="14"/>
      <c r="B41" s="14"/>
      <c r="C41" s="14" t="s">
        <v>111</v>
      </c>
      <c r="D41" s="15">
        <v>11520</v>
      </c>
      <c r="E41" s="15">
        <v>5760</v>
      </c>
      <c r="F41" s="16">
        <v>2</v>
      </c>
      <c r="G41" s="16"/>
    </row>
    <row r="42" spans="1:7" x14ac:dyDescent="0.25">
      <c r="A42" s="14" t="s">
        <v>124</v>
      </c>
      <c r="B42" s="14"/>
      <c r="C42" s="14"/>
      <c r="D42" s="15">
        <v>31863.333333333332</v>
      </c>
      <c r="E42" s="15">
        <v>6372.6666666666661</v>
      </c>
      <c r="F42" s="16">
        <v>5</v>
      </c>
      <c r="G42" s="16"/>
    </row>
    <row r="43" spans="1:7" x14ac:dyDescent="0.25">
      <c r="A43" s="14" t="s">
        <v>18</v>
      </c>
      <c r="B43" s="14" t="s">
        <v>13</v>
      </c>
      <c r="C43" s="14" t="s">
        <v>110</v>
      </c>
      <c r="D43" s="15">
        <v>2373.3333333333335</v>
      </c>
      <c r="E43" s="15">
        <v>2373.3333333333335</v>
      </c>
      <c r="F43" s="16">
        <v>1</v>
      </c>
      <c r="G43" s="16"/>
    </row>
    <row r="44" spans="1:7" x14ac:dyDescent="0.25">
      <c r="A44" s="14"/>
      <c r="B44" s="14"/>
      <c r="C44" s="14" t="s">
        <v>111</v>
      </c>
      <c r="D44" s="15">
        <v>693.33333333333337</v>
      </c>
      <c r="E44" s="15">
        <v>693.33333333333337</v>
      </c>
      <c r="F44" s="16">
        <v>1</v>
      </c>
      <c r="G44" s="16"/>
    </row>
    <row r="45" spans="1:7" x14ac:dyDescent="0.25">
      <c r="A45" s="14"/>
      <c r="B45" s="14" t="s">
        <v>41</v>
      </c>
      <c r="C45" s="14" t="s">
        <v>111</v>
      </c>
      <c r="D45" s="15">
        <v>7980</v>
      </c>
      <c r="E45" s="15">
        <v>7980</v>
      </c>
      <c r="F45" s="16">
        <v>1</v>
      </c>
      <c r="G45" s="16"/>
    </row>
    <row r="46" spans="1:7" x14ac:dyDescent="0.25">
      <c r="A46" s="14"/>
      <c r="B46" s="14" t="s">
        <v>22</v>
      </c>
      <c r="C46" s="14" t="s">
        <v>110</v>
      </c>
      <c r="D46" s="15">
        <v>14840</v>
      </c>
      <c r="E46" s="15">
        <v>7420</v>
      </c>
      <c r="F46" s="16">
        <v>2</v>
      </c>
      <c r="G46" s="16"/>
    </row>
    <row r="47" spans="1:7" x14ac:dyDescent="0.25">
      <c r="A47" s="14" t="s">
        <v>125</v>
      </c>
      <c r="B47" s="14"/>
      <c r="C47" s="14"/>
      <c r="D47" s="15">
        <v>25886.666666666668</v>
      </c>
      <c r="E47" s="15">
        <v>5177.3333333333339</v>
      </c>
      <c r="F47" s="16">
        <v>5</v>
      </c>
      <c r="G47" s="16"/>
    </row>
    <row r="48" spans="1:7" x14ac:dyDescent="0.25">
      <c r="A48" s="14" t="s">
        <v>112</v>
      </c>
      <c r="B48" s="14"/>
      <c r="C48" s="14"/>
      <c r="D48" s="15">
        <v>292290</v>
      </c>
      <c r="E48" s="15">
        <v>8351.1428571428569</v>
      </c>
      <c r="F48" s="16">
        <v>35</v>
      </c>
      <c r="G48" s="16"/>
    </row>
    <row r="49" spans="2:7" x14ac:dyDescent="0.25">
      <c r="G49" s="16"/>
    </row>
    <row r="50" spans="2:7" x14ac:dyDescent="0.25">
      <c r="G50" s="16"/>
    </row>
    <row r="51" spans="2:7" x14ac:dyDescent="0.25">
      <c r="B51" s="11" t="s">
        <v>127</v>
      </c>
      <c r="G51" s="16"/>
    </row>
    <row r="52" spans="2:7" x14ac:dyDescent="0.25">
      <c r="G52" s="16"/>
    </row>
    <row r="53" spans="2:7" x14ac:dyDescent="0.25">
      <c r="G53" s="16"/>
    </row>
    <row r="54" spans="2:7" x14ac:dyDescent="0.25">
      <c r="G54" s="16"/>
    </row>
    <row r="55" spans="2:7" x14ac:dyDescent="0.25">
      <c r="G55" s="16"/>
    </row>
    <row r="56" spans="2:7" x14ac:dyDescent="0.25">
      <c r="G56" s="16"/>
    </row>
    <row r="57" spans="2:7" x14ac:dyDescent="0.25">
      <c r="G57" s="16"/>
    </row>
    <row r="58" spans="2:7" x14ac:dyDescent="0.25">
      <c r="G58" s="16"/>
    </row>
    <row r="59" spans="2:7" x14ac:dyDescent="0.25">
      <c r="G59" s="16"/>
    </row>
    <row r="60" spans="2:7" x14ac:dyDescent="0.25">
      <c r="G60" s="16"/>
    </row>
    <row r="61" spans="2:7" x14ac:dyDescent="0.25">
      <c r="G61" s="16"/>
    </row>
    <row r="62" spans="2:7" x14ac:dyDescent="0.25">
      <c r="G62" s="16"/>
    </row>
    <row r="63" spans="2:7" x14ac:dyDescent="0.25">
      <c r="G63" s="16"/>
    </row>
    <row r="64" spans="2:7" x14ac:dyDescent="0.25">
      <c r="G64" s="16"/>
    </row>
    <row r="65" spans="7:7" x14ac:dyDescent="0.25">
      <c r="G65" s="16"/>
    </row>
    <row r="66" spans="7:7" x14ac:dyDescent="0.25">
      <c r="G66" s="16"/>
    </row>
    <row r="67" spans="7:7" x14ac:dyDescent="0.25">
      <c r="G67" s="16"/>
    </row>
    <row r="68" spans="7:7" x14ac:dyDescent="0.25">
      <c r="G68" s="16"/>
    </row>
    <row r="69" spans="7:7" x14ac:dyDescent="0.25">
      <c r="G69" s="16"/>
    </row>
  </sheetData>
  <mergeCells count="1">
    <mergeCell ref="A1:R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A5BC-FE04-4EC2-BF44-8FF0ED68FB62}">
  <dimension ref="A1:K23"/>
  <sheetViews>
    <sheetView workbookViewId="0">
      <selection activeCell="A15" sqref="A15"/>
    </sheetView>
  </sheetViews>
  <sheetFormatPr defaultRowHeight="15" x14ac:dyDescent="0.25"/>
  <cols>
    <col min="1" max="1" width="19.85546875" bestFit="1" customWidth="1"/>
    <col min="2" max="2" width="23.28515625" bestFit="1" customWidth="1"/>
    <col min="3" max="3" width="7.5703125" bestFit="1" customWidth="1"/>
    <col min="4" max="4" width="21.140625" bestFit="1" customWidth="1"/>
    <col min="5" max="5" width="10" bestFit="1" customWidth="1"/>
    <col min="6" max="6" width="19.85546875" bestFit="1" customWidth="1"/>
    <col min="7" max="7" width="16.28515625" bestFit="1" customWidth="1"/>
    <col min="8" max="9" width="9" bestFit="1" customWidth="1"/>
    <col min="10" max="11" width="11.28515625" bestFit="1" customWidth="1"/>
  </cols>
  <sheetData>
    <row r="1" spans="1:11" x14ac:dyDescent="0.25">
      <c r="A1" s="37" t="s">
        <v>137</v>
      </c>
      <c r="B1" s="38"/>
      <c r="D1" s="37" t="s">
        <v>138</v>
      </c>
      <c r="E1" s="46"/>
      <c r="F1" s="47"/>
      <c r="G1" s="47"/>
      <c r="H1" s="47"/>
      <c r="I1" s="47"/>
      <c r="J1" s="47"/>
      <c r="K1" s="48"/>
    </row>
    <row r="2" spans="1:11" ht="15.75" x14ac:dyDescent="0.25">
      <c r="A2" s="39" t="s">
        <v>115</v>
      </c>
      <c r="B2" s="40"/>
      <c r="D2" s="41" t="s">
        <v>118</v>
      </c>
      <c r="E2" s="10" t="s">
        <v>8</v>
      </c>
      <c r="F2" s="3"/>
      <c r="G2" s="3"/>
      <c r="H2" s="3"/>
      <c r="I2" s="3"/>
      <c r="J2" s="3"/>
      <c r="K2" s="42"/>
    </row>
    <row r="3" spans="1:11" x14ac:dyDescent="0.25">
      <c r="A3" s="41" t="s">
        <v>108</v>
      </c>
      <c r="B3" s="42" t="s">
        <v>113</v>
      </c>
      <c r="D3" s="49" t="s">
        <v>116</v>
      </c>
      <c r="E3" s="3" t="s">
        <v>14</v>
      </c>
      <c r="F3" s="3" t="s">
        <v>67</v>
      </c>
      <c r="G3" s="3" t="s">
        <v>23</v>
      </c>
      <c r="H3" s="3" t="s">
        <v>42</v>
      </c>
      <c r="I3" s="3" t="s">
        <v>35</v>
      </c>
      <c r="J3" s="3" t="s">
        <v>18</v>
      </c>
      <c r="K3" s="42" t="s">
        <v>112</v>
      </c>
    </row>
    <row r="4" spans="1:11" x14ac:dyDescent="0.25">
      <c r="A4" s="43" t="s">
        <v>110</v>
      </c>
      <c r="B4" s="44">
        <v>1530</v>
      </c>
      <c r="D4" s="43" t="s">
        <v>13</v>
      </c>
      <c r="E4" s="9">
        <v>5066.6666666666661</v>
      </c>
      <c r="F4" s="9">
        <v>15146.666666666666</v>
      </c>
      <c r="G4" s="9">
        <v>5520</v>
      </c>
      <c r="H4" s="9">
        <v>346.66666666666669</v>
      </c>
      <c r="I4" s="9">
        <v>11360.000000000002</v>
      </c>
      <c r="J4" s="9">
        <v>3066.666666666667</v>
      </c>
      <c r="K4" s="44">
        <v>40506.666666666664</v>
      </c>
    </row>
    <row r="5" spans="1:11" x14ac:dyDescent="0.25">
      <c r="A5" s="43" t="s">
        <v>111</v>
      </c>
      <c r="B5" s="44">
        <v>1406.6666666666667</v>
      </c>
      <c r="D5" s="43" t="s">
        <v>31</v>
      </c>
      <c r="E5" s="9">
        <v>17916.666666666668</v>
      </c>
      <c r="F5" s="9">
        <v>36333.333333333336</v>
      </c>
      <c r="G5" s="9">
        <v>583.33333333333337</v>
      </c>
      <c r="H5" s="9">
        <v>9000</v>
      </c>
      <c r="I5" s="9">
        <v>18250</v>
      </c>
      <c r="J5" s="9"/>
      <c r="K5" s="44">
        <v>82083.333333333343</v>
      </c>
    </row>
    <row r="6" spans="1:11" x14ac:dyDescent="0.25">
      <c r="A6" s="43" t="s">
        <v>112</v>
      </c>
      <c r="B6" s="44">
        <v>1477.1428571428571</v>
      </c>
      <c r="D6" s="43" t="s">
        <v>41</v>
      </c>
      <c r="E6" s="9">
        <v>17760</v>
      </c>
      <c r="F6" s="9">
        <v>240</v>
      </c>
      <c r="G6" s="9"/>
      <c r="H6" s="9">
        <v>11880</v>
      </c>
      <c r="I6" s="9">
        <v>36840</v>
      </c>
      <c r="J6" s="9">
        <v>7980</v>
      </c>
      <c r="K6" s="44">
        <v>74700</v>
      </c>
    </row>
    <row r="7" spans="1:11" ht="15.75" thickBot="1" x14ac:dyDescent="0.3">
      <c r="A7" s="45"/>
      <c r="B7" s="36"/>
      <c r="D7" s="43" t="s">
        <v>22</v>
      </c>
      <c r="E7" s="9">
        <v>18120</v>
      </c>
      <c r="F7" s="9">
        <v>1000</v>
      </c>
      <c r="G7" s="9">
        <v>25760</v>
      </c>
      <c r="H7" s="9">
        <v>16560</v>
      </c>
      <c r="I7" s="9">
        <v>18720</v>
      </c>
      <c r="J7" s="9">
        <v>14840</v>
      </c>
      <c r="K7" s="44">
        <v>95000</v>
      </c>
    </row>
    <row r="8" spans="1:11" ht="15.75" thickBot="1" x14ac:dyDescent="0.3">
      <c r="D8" s="50" t="s">
        <v>112</v>
      </c>
      <c r="E8" s="51">
        <v>58863.333333333336</v>
      </c>
      <c r="F8" s="51">
        <v>52720</v>
      </c>
      <c r="G8" s="51">
        <v>31863.333333333332</v>
      </c>
      <c r="H8" s="51">
        <v>37786.666666666664</v>
      </c>
      <c r="I8" s="51">
        <v>85170</v>
      </c>
      <c r="J8" s="51">
        <v>25886.666666666668</v>
      </c>
      <c r="K8" s="52">
        <v>292290</v>
      </c>
    </row>
    <row r="12" spans="1:11" ht="15.75" thickBot="1" x14ac:dyDescent="0.3"/>
    <row r="13" spans="1:11" x14ac:dyDescent="0.25">
      <c r="A13" s="25" t="s">
        <v>133</v>
      </c>
      <c r="B13" s="26"/>
      <c r="C13" s="26"/>
      <c r="D13" s="26"/>
      <c r="E13" s="26"/>
      <c r="F13" s="26"/>
      <c r="G13" s="26"/>
      <c r="H13" s="26"/>
      <c r="I13" s="26"/>
      <c r="J13" s="26"/>
      <c r="K13" s="27"/>
    </row>
    <row r="14" spans="1:11" x14ac:dyDescent="0.25">
      <c r="A14" s="28" t="s">
        <v>139</v>
      </c>
      <c r="B14" s="8"/>
      <c r="C14" s="8"/>
      <c r="D14" s="8"/>
      <c r="E14" s="29"/>
      <c r="F14" s="29"/>
      <c r="G14" s="29"/>
      <c r="H14" s="29"/>
      <c r="I14" s="29"/>
      <c r="J14" s="29"/>
      <c r="K14" s="30"/>
    </row>
    <row r="15" spans="1:11" x14ac:dyDescent="0.25">
      <c r="A15" s="31" t="s">
        <v>117</v>
      </c>
      <c r="B15" s="4" t="s">
        <v>135</v>
      </c>
      <c r="C15" s="5"/>
      <c r="D15" s="5"/>
      <c r="E15" s="29"/>
      <c r="F15" s="8" t="s">
        <v>134</v>
      </c>
      <c r="G15" s="8"/>
      <c r="H15" s="8"/>
      <c r="I15" s="8"/>
      <c r="J15" s="8"/>
      <c r="K15" s="30"/>
    </row>
    <row r="16" spans="1:11" x14ac:dyDescent="0.25">
      <c r="A16" s="31" t="s">
        <v>8</v>
      </c>
      <c r="B16" s="5" t="s">
        <v>12</v>
      </c>
      <c r="C16" s="5" t="s">
        <v>27</v>
      </c>
      <c r="D16" s="5" t="s">
        <v>112</v>
      </c>
      <c r="E16" s="29"/>
      <c r="F16" s="4" t="s">
        <v>117</v>
      </c>
      <c r="G16" s="4" t="s">
        <v>129</v>
      </c>
      <c r="H16" s="5"/>
      <c r="I16" s="5"/>
      <c r="J16" s="5"/>
      <c r="K16" s="30"/>
    </row>
    <row r="17" spans="1:11" x14ac:dyDescent="0.25">
      <c r="A17" s="32" t="s">
        <v>35</v>
      </c>
      <c r="B17" s="7">
        <v>8</v>
      </c>
      <c r="C17" s="7">
        <v>2</v>
      </c>
      <c r="D17" s="7">
        <v>10</v>
      </c>
      <c r="E17" s="29"/>
      <c r="F17" s="4" t="s">
        <v>136</v>
      </c>
      <c r="G17" s="5" t="s">
        <v>130</v>
      </c>
      <c r="H17" s="5" t="s">
        <v>131</v>
      </c>
      <c r="I17" s="5" t="s">
        <v>132</v>
      </c>
      <c r="J17" s="5" t="s">
        <v>112</v>
      </c>
      <c r="K17" s="30"/>
    </row>
    <row r="18" spans="1:11" x14ac:dyDescent="0.25">
      <c r="A18" s="32" t="s">
        <v>42</v>
      </c>
      <c r="B18" s="7">
        <v>4</v>
      </c>
      <c r="C18" s="7">
        <v>2</v>
      </c>
      <c r="D18" s="7">
        <v>6</v>
      </c>
      <c r="E18" s="29"/>
      <c r="F18" s="6" t="s">
        <v>13</v>
      </c>
      <c r="G18" s="7">
        <v>4</v>
      </c>
      <c r="H18" s="7">
        <v>2</v>
      </c>
      <c r="I18" s="7">
        <v>3</v>
      </c>
      <c r="J18" s="7">
        <v>9</v>
      </c>
      <c r="K18" s="30"/>
    </row>
    <row r="19" spans="1:11" x14ac:dyDescent="0.25">
      <c r="A19" s="32" t="s">
        <v>18</v>
      </c>
      <c r="B19" s="7">
        <v>3</v>
      </c>
      <c r="C19" s="7">
        <v>2</v>
      </c>
      <c r="D19" s="7">
        <v>5</v>
      </c>
      <c r="E19" s="29"/>
      <c r="F19" s="6" t="s">
        <v>31</v>
      </c>
      <c r="G19" s="7">
        <v>2</v>
      </c>
      <c r="H19" s="7">
        <v>1</v>
      </c>
      <c r="I19" s="7">
        <v>4</v>
      </c>
      <c r="J19" s="7">
        <v>7</v>
      </c>
      <c r="K19" s="30"/>
    </row>
    <row r="20" spans="1:11" x14ac:dyDescent="0.25">
      <c r="A20" s="32" t="s">
        <v>14</v>
      </c>
      <c r="B20" s="7">
        <v>2</v>
      </c>
      <c r="C20" s="7">
        <v>3</v>
      </c>
      <c r="D20" s="7">
        <v>5</v>
      </c>
      <c r="E20" s="29"/>
      <c r="F20" s="6" t="s">
        <v>41</v>
      </c>
      <c r="G20" s="7">
        <v>1</v>
      </c>
      <c r="H20" s="7">
        <v>4</v>
      </c>
      <c r="I20" s="7">
        <v>2</v>
      </c>
      <c r="J20" s="7">
        <v>7</v>
      </c>
      <c r="K20" s="30"/>
    </row>
    <row r="21" spans="1:11" x14ac:dyDescent="0.25">
      <c r="A21" s="32" t="s">
        <v>23</v>
      </c>
      <c r="B21" s="7">
        <v>2</v>
      </c>
      <c r="C21" s="7">
        <v>3</v>
      </c>
      <c r="D21" s="7">
        <v>5</v>
      </c>
      <c r="E21" s="29"/>
      <c r="F21" s="6" t="s">
        <v>22</v>
      </c>
      <c r="G21" s="7">
        <v>6</v>
      </c>
      <c r="H21" s="7">
        <v>2</v>
      </c>
      <c r="I21" s="7">
        <v>4</v>
      </c>
      <c r="J21" s="7">
        <v>12</v>
      </c>
      <c r="K21" s="30"/>
    </row>
    <row r="22" spans="1:11" x14ac:dyDescent="0.25">
      <c r="A22" s="32" t="s">
        <v>67</v>
      </c>
      <c r="B22" s="7">
        <v>1</v>
      </c>
      <c r="C22" s="7">
        <v>3</v>
      </c>
      <c r="D22" s="7">
        <v>4</v>
      </c>
      <c r="E22" s="29"/>
      <c r="F22" s="6" t="s">
        <v>112</v>
      </c>
      <c r="G22" s="7">
        <v>13</v>
      </c>
      <c r="H22" s="7">
        <v>9</v>
      </c>
      <c r="I22" s="7">
        <v>13</v>
      </c>
      <c r="J22" s="7">
        <v>35</v>
      </c>
      <c r="K22" s="30"/>
    </row>
    <row r="23" spans="1:11" ht="15.75" thickBot="1" x14ac:dyDescent="0.3">
      <c r="A23" s="33" t="s">
        <v>112</v>
      </c>
      <c r="B23" s="34">
        <v>20</v>
      </c>
      <c r="C23" s="34">
        <v>15</v>
      </c>
      <c r="D23" s="34">
        <v>35</v>
      </c>
      <c r="E23" s="35"/>
      <c r="F23" s="35"/>
      <c r="G23" s="35"/>
      <c r="H23" s="35"/>
      <c r="I23" s="35"/>
      <c r="J23" s="35"/>
      <c r="K23" s="36"/>
    </row>
  </sheetData>
  <mergeCells count="6">
    <mergeCell ref="A2:B2"/>
    <mergeCell ref="A1:B1"/>
    <mergeCell ref="D1:E1"/>
    <mergeCell ref="A13:K13"/>
    <mergeCell ref="A14:D14"/>
    <mergeCell ref="F15:J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Dashboard</vt:lpstr>
      <vt:lpstr>All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Riyansh</dc:creator>
  <cp:lastModifiedBy>Riyansh</cp:lastModifiedBy>
  <dcterms:created xsi:type="dcterms:W3CDTF">2025-04-06T20:54:03Z</dcterms:created>
  <dcterms:modified xsi:type="dcterms:W3CDTF">2025-11-02T18:19:12Z</dcterms:modified>
</cp:coreProperties>
</file>